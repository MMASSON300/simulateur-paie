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drawings/drawing2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/>
  <mc:AlternateContent xmlns:mc="http://schemas.openxmlformats.org/markup-compatibility/2006">
    <mc:Choice Requires="x15">
      <x15ac:absPath xmlns:x15ac="http://schemas.microsoft.com/office/spreadsheetml/2010/11/ac" url="X:\SIRH\Outils\Simulateur de salaires\"/>
    </mc:Choice>
  </mc:AlternateContent>
  <xr:revisionPtr revIDLastSave="0" documentId="13_ncr:1_{7A9132DF-63BE-40F1-A3AD-B9BB20D92D8B}" xr6:coauthVersionLast="47" xr6:coauthVersionMax="47" xr10:uidLastSave="{00000000-0000-0000-0000-000000000000}"/>
  <bookViews>
    <workbookView xWindow="28680" yWindow="-120" windowWidth="29040" windowHeight="15720" firstSheet="2" activeTab="2" xr2:uid="{A4BC11A4-D4C6-4084-A2E9-E02F7BC1D0BF}"/>
  </bookViews>
  <sheets>
    <sheet name="Base_grades" sheetId="1" state="hidden" r:id="rId1"/>
    <sheet name="Base_IFSE" sheetId="4" state="hidden" r:id="rId2"/>
    <sheet name="Simulation" sheetId="2" r:id="rId3"/>
    <sheet name="PFA" sheetId="5" state="hidden" r:id="rId4"/>
    <sheet name="SFT" sheetId="3" state="hidden" r:id="rId5"/>
  </sheets>
  <definedNames>
    <definedName name="_xlnm._FilterDatabase" localSheetId="1" hidden="1">Base_IFSE!$A$1:$G$675</definedName>
    <definedName name="_xleta.IF" hidden="1" xlm="1">#NAME?</definedName>
    <definedName name="_xleta.T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E15" i="5" l="1"/>
  <c r="I13" i="5"/>
  <c r="E16" i="5"/>
  <c r="H5" i="5"/>
  <c r="G18" i="5"/>
  <c r="E18" i="5"/>
  <c r="E13" i="5"/>
  <c r="I11" i="5"/>
  <c r="E11" i="5"/>
  <c r="E9" i="5"/>
  <c r="E8" i="5"/>
  <c r="E7" i="5"/>
  <c r="E5" i="5"/>
  <c r="E3" i="5"/>
  <c r="E34" i="5"/>
  <c r="H34" i="5" s="1"/>
  <c r="E33" i="5"/>
  <c r="H32" i="5"/>
  <c r="E32" i="5"/>
  <c r="H31" i="5"/>
  <c r="E31" i="5"/>
  <c r="E30" i="5"/>
  <c r="E29" i="5"/>
  <c r="H28" i="5"/>
  <c r="E28" i="5"/>
  <c r="E27" i="5"/>
  <c r="E26" i="5"/>
  <c r="E25" i="5"/>
  <c r="H25" i="5" s="1"/>
  <c r="E24" i="5"/>
  <c r="W2" i="5"/>
  <c r="H34" i="2"/>
  <c r="B221" i="4"/>
  <c r="B222" i="4"/>
  <c r="B199" i="4"/>
  <c r="B200" i="4"/>
  <c r="B167" i="4"/>
  <c r="B168" i="4"/>
  <c r="B136" i="4"/>
  <c r="B137" i="4"/>
  <c r="B114" i="4"/>
  <c r="B115" i="4"/>
  <c r="B98" i="4"/>
  <c r="B99" i="4"/>
  <c r="B85" i="4"/>
  <c r="B54" i="4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1" i="1"/>
  <c r="C742" i="1"/>
  <c r="C743" i="1"/>
  <c r="C744" i="1"/>
  <c r="C745" i="1"/>
  <c r="C746" i="1"/>
  <c r="C747" i="1"/>
  <c r="C748" i="1"/>
  <c r="C749" i="1"/>
  <c r="C750" i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C767" i="1"/>
  <c r="C768" i="1"/>
  <c r="C769" i="1"/>
  <c r="C770" i="1"/>
  <c r="C771" i="1"/>
  <c r="C772" i="1"/>
  <c r="C773" i="1"/>
  <c r="C774" i="1"/>
  <c r="C775" i="1"/>
  <c r="C776" i="1"/>
  <c r="C777" i="1"/>
  <c r="C778" i="1"/>
  <c r="C779" i="1"/>
  <c r="C780" i="1"/>
  <c r="C781" i="1"/>
  <c r="C782" i="1"/>
  <c r="C783" i="1"/>
  <c r="C784" i="1"/>
  <c r="C785" i="1"/>
  <c r="C786" i="1"/>
  <c r="C787" i="1"/>
  <c r="C788" i="1"/>
  <c r="C789" i="1"/>
  <c r="C790" i="1"/>
  <c r="C791" i="1"/>
  <c r="C792" i="1"/>
  <c r="C793" i="1"/>
  <c r="C794" i="1"/>
  <c r="C795" i="1"/>
  <c r="C796" i="1"/>
  <c r="C797" i="1"/>
  <c r="C798" i="1"/>
  <c r="C799" i="1"/>
  <c r="C800" i="1"/>
  <c r="C801" i="1"/>
  <c r="C802" i="1"/>
  <c r="C803" i="1"/>
  <c r="C804" i="1"/>
  <c r="C805" i="1"/>
  <c r="C806" i="1"/>
  <c r="C807" i="1"/>
  <c r="C808" i="1"/>
  <c r="C809" i="1"/>
  <c r="C810" i="1"/>
  <c r="C811" i="1"/>
  <c r="C812" i="1"/>
  <c r="C813" i="1"/>
  <c r="C814" i="1"/>
  <c r="C815" i="1"/>
  <c r="C816" i="1"/>
  <c r="C817" i="1"/>
  <c r="C818" i="1"/>
  <c r="C819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C662" i="1"/>
  <c r="C663" i="1"/>
  <c r="C664" i="1"/>
  <c r="C665" i="1"/>
  <c r="C666" i="1"/>
  <c r="C667" i="1"/>
  <c r="C668" i="1"/>
  <c r="C669" i="1"/>
  <c r="C670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T8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33" i="1"/>
  <c r="C434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68" i="1"/>
  <c r="C369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70" i="1"/>
  <c r="C371" i="1"/>
  <c r="C372" i="1"/>
  <c r="C373" i="1"/>
  <c r="C374" i="1"/>
  <c r="C375" i="1"/>
  <c r="C376" i="1"/>
  <c r="C377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28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187" i="1"/>
  <c r="C188" i="1"/>
  <c r="C189" i="1"/>
  <c r="C190" i="1"/>
  <c r="C191" i="1"/>
  <c r="C192" i="1"/>
  <c r="C193" i="1"/>
  <c r="C194" i="1"/>
  <c r="C195" i="1"/>
  <c r="C196" i="1"/>
  <c r="C186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28" i="1"/>
  <c r="F41" i="2"/>
  <c r="F40" i="2"/>
  <c r="F39" i="2"/>
  <c r="W2" i="2"/>
  <c r="F38" i="2"/>
  <c r="F37" i="2"/>
  <c r="E27" i="2"/>
  <c r="H32" i="2"/>
  <c r="N6" i="3"/>
  <c r="N7" i="3"/>
  <c r="N8" i="3"/>
  <c r="N9" i="3"/>
  <c r="N10" i="3"/>
  <c r="N11" i="3"/>
  <c r="N12" i="3"/>
  <c r="N13" i="3"/>
  <c r="N5" i="3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01" i="1"/>
  <c r="E4" i="3"/>
  <c r="F4" i="3"/>
  <c r="E34" i="2"/>
  <c r="E33" i="2"/>
  <c r="H33" i="2" s="1"/>
  <c r="E32" i="2"/>
  <c r="E31" i="2"/>
  <c r="H31" i="2" s="1"/>
  <c r="E30" i="2"/>
  <c r="E29" i="2"/>
  <c r="H29" i="2" s="1"/>
  <c r="E28" i="2"/>
  <c r="E26" i="2"/>
  <c r="E25" i="2"/>
  <c r="H25" i="2" s="1"/>
  <c r="E24" i="2"/>
  <c r="B675" i="4"/>
  <c r="B674" i="4"/>
  <c r="B673" i="4"/>
  <c r="B672" i="4"/>
  <c r="B671" i="4"/>
  <c r="B670" i="4"/>
  <c r="B669" i="4"/>
  <c r="B668" i="4"/>
  <c r="B667" i="4"/>
  <c r="B666" i="4"/>
  <c r="B665" i="4"/>
  <c r="B664" i="4"/>
  <c r="B663" i="4"/>
  <c r="B662" i="4"/>
  <c r="B661" i="4"/>
  <c r="B660" i="4"/>
  <c r="B659" i="4"/>
  <c r="B658" i="4"/>
  <c r="B657" i="4"/>
  <c r="B656" i="4"/>
  <c r="B655" i="4"/>
  <c r="B654" i="4"/>
  <c r="B653" i="4"/>
  <c r="B652" i="4"/>
  <c r="B651" i="4"/>
  <c r="B650" i="4"/>
  <c r="B649" i="4"/>
  <c r="B648" i="4"/>
  <c r="B647" i="4"/>
  <c r="B646" i="4"/>
  <c r="B645" i="4"/>
  <c r="B644" i="4"/>
  <c r="B643" i="4"/>
  <c r="B642" i="4"/>
  <c r="B641" i="4"/>
  <c r="B640" i="4"/>
  <c r="B639" i="4"/>
  <c r="B638" i="4"/>
  <c r="B637" i="4"/>
  <c r="B636" i="4"/>
  <c r="B635" i="4"/>
  <c r="B634" i="4"/>
  <c r="B633" i="4"/>
  <c r="B632" i="4"/>
  <c r="B631" i="4"/>
  <c r="B630" i="4"/>
  <c r="B629" i="4"/>
  <c r="B628" i="4"/>
  <c r="B627" i="4"/>
  <c r="B626" i="4"/>
  <c r="B625" i="4"/>
  <c r="B624" i="4"/>
  <c r="B623" i="4"/>
  <c r="B622" i="4"/>
  <c r="B621" i="4"/>
  <c r="B620" i="4"/>
  <c r="B619" i="4"/>
  <c r="B618" i="4"/>
  <c r="B617" i="4"/>
  <c r="B616" i="4"/>
  <c r="B615" i="4"/>
  <c r="B614" i="4"/>
  <c r="B613" i="4"/>
  <c r="B612" i="4"/>
  <c r="B611" i="4"/>
  <c r="B610" i="4"/>
  <c r="B609" i="4"/>
  <c r="B608" i="4"/>
  <c r="B607" i="4"/>
  <c r="B606" i="4"/>
  <c r="B605" i="4"/>
  <c r="B604" i="4"/>
  <c r="B603" i="4"/>
  <c r="B602" i="4"/>
  <c r="B601" i="4"/>
  <c r="B600" i="4"/>
  <c r="B599" i="4"/>
  <c r="B598" i="4"/>
  <c r="B597" i="4"/>
  <c r="B596" i="4"/>
  <c r="B595" i="4"/>
  <c r="B594" i="4"/>
  <c r="B593" i="4"/>
  <c r="B592" i="4"/>
  <c r="B591" i="4"/>
  <c r="B590" i="4"/>
  <c r="B589" i="4"/>
  <c r="B588" i="4"/>
  <c r="B587" i="4"/>
  <c r="B586" i="4"/>
  <c r="B585" i="4"/>
  <c r="B584" i="4"/>
  <c r="B583" i="4"/>
  <c r="B582" i="4"/>
  <c r="B581" i="4"/>
  <c r="B580" i="4"/>
  <c r="B579" i="4"/>
  <c r="B578" i="4"/>
  <c r="B577" i="4"/>
  <c r="B576" i="4"/>
  <c r="B575" i="4"/>
  <c r="B574" i="4"/>
  <c r="B573" i="4"/>
  <c r="B572" i="4"/>
  <c r="B571" i="4"/>
  <c r="B570" i="4"/>
  <c r="B569" i="4"/>
  <c r="B568" i="4"/>
  <c r="B567" i="4"/>
  <c r="B566" i="4"/>
  <c r="B565" i="4"/>
  <c r="B564" i="4"/>
  <c r="B563" i="4"/>
  <c r="B562" i="4"/>
  <c r="B561" i="4"/>
  <c r="B560" i="4"/>
  <c r="B559" i="4"/>
  <c r="B558" i="4"/>
  <c r="B557" i="4"/>
  <c r="B556" i="4"/>
  <c r="B555" i="4"/>
  <c r="B554" i="4"/>
  <c r="B553" i="4"/>
  <c r="B552" i="4"/>
  <c r="B551" i="4"/>
  <c r="B550" i="4"/>
  <c r="B549" i="4"/>
  <c r="B548" i="4"/>
  <c r="B547" i="4"/>
  <c r="B546" i="4"/>
  <c r="B545" i="4"/>
  <c r="B544" i="4"/>
  <c r="B543" i="4"/>
  <c r="B542" i="4"/>
  <c r="B541" i="4"/>
  <c r="B540" i="4"/>
  <c r="B539" i="4"/>
  <c r="B538" i="4"/>
  <c r="B537" i="4"/>
  <c r="B536" i="4"/>
  <c r="B535" i="4"/>
  <c r="B534" i="4"/>
  <c r="B533" i="4"/>
  <c r="B532" i="4"/>
  <c r="B531" i="4"/>
  <c r="B530" i="4"/>
  <c r="B529" i="4"/>
  <c r="B528" i="4"/>
  <c r="B527" i="4"/>
  <c r="B526" i="4"/>
  <c r="B525" i="4"/>
  <c r="B524" i="4"/>
  <c r="B523" i="4"/>
  <c r="B522" i="4"/>
  <c r="B521" i="4"/>
  <c r="B520" i="4"/>
  <c r="B519" i="4"/>
  <c r="B518" i="4"/>
  <c r="B517" i="4"/>
  <c r="B516" i="4"/>
  <c r="B515" i="4"/>
  <c r="B514" i="4"/>
  <c r="B513" i="4"/>
  <c r="B512" i="4"/>
  <c r="B511" i="4"/>
  <c r="B510" i="4"/>
  <c r="B509" i="4"/>
  <c r="B508" i="4"/>
  <c r="B507" i="4"/>
  <c r="B506" i="4"/>
  <c r="B505" i="4"/>
  <c r="B504" i="4"/>
  <c r="B503" i="4"/>
  <c r="B502" i="4"/>
  <c r="B501" i="4"/>
  <c r="B500" i="4"/>
  <c r="B499" i="4"/>
  <c r="B498" i="4"/>
  <c r="B497" i="4"/>
  <c r="B496" i="4"/>
  <c r="B495" i="4"/>
  <c r="B494" i="4"/>
  <c r="B493" i="4"/>
  <c r="B492" i="4"/>
  <c r="B491" i="4"/>
  <c r="B490" i="4"/>
  <c r="B489" i="4"/>
  <c r="B488" i="4"/>
  <c r="B487" i="4"/>
  <c r="B486" i="4"/>
  <c r="B485" i="4"/>
  <c r="B484" i="4"/>
  <c r="B483" i="4"/>
  <c r="B482" i="4"/>
  <c r="B481" i="4"/>
  <c r="B480" i="4"/>
  <c r="B479" i="4"/>
  <c r="B478" i="4"/>
  <c r="B477" i="4"/>
  <c r="B476" i="4"/>
  <c r="B475" i="4"/>
  <c r="B474" i="4"/>
  <c r="B473" i="4"/>
  <c r="B472" i="4"/>
  <c r="B471" i="4"/>
  <c r="B470" i="4"/>
  <c r="B469" i="4"/>
  <c r="B468" i="4"/>
  <c r="B467" i="4"/>
  <c r="B466" i="4"/>
  <c r="B465" i="4"/>
  <c r="B464" i="4"/>
  <c r="B463" i="4"/>
  <c r="B462" i="4"/>
  <c r="B461" i="4"/>
  <c r="B460" i="4"/>
  <c r="B459" i="4"/>
  <c r="B458" i="4"/>
  <c r="B457" i="4"/>
  <c r="B456" i="4"/>
  <c r="B455" i="4"/>
  <c r="B454" i="4"/>
  <c r="B453" i="4"/>
  <c r="B452" i="4"/>
  <c r="B451" i="4"/>
  <c r="B450" i="4"/>
  <c r="B449" i="4"/>
  <c r="B448" i="4"/>
  <c r="B447" i="4"/>
  <c r="B446" i="4"/>
  <c r="B445" i="4"/>
  <c r="B444" i="4"/>
  <c r="B443" i="4"/>
  <c r="B442" i="4"/>
  <c r="B441" i="4"/>
  <c r="B440" i="4"/>
  <c r="B439" i="4"/>
  <c r="B438" i="4"/>
  <c r="B437" i="4"/>
  <c r="B436" i="4"/>
  <c r="B435" i="4"/>
  <c r="B434" i="4"/>
  <c r="B433" i="4"/>
  <c r="B432" i="4"/>
  <c r="B431" i="4"/>
  <c r="B430" i="4"/>
  <c r="B429" i="4"/>
  <c r="B428" i="4"/>
  <c r="B427" i="4"/>
  <c r="B426" i="4"/>
  <c r="B425" i="4"/>
  <c r="B424" i="4"/>
  <c r="B423" i="4"/>
  <c r="B422" i="4"/>
  <c r="B421" i="4"/>
  <c r="B420" i="4"/>
  <c r="B419" i="4"/>
  <c r="B418" i="4"/>
  <c r="B417" i="4"/>
  <c r="B416" i="4"/>
  <c r="B415" i="4"/>
  <c r="B414" i="4"/>
  <c r="B413" i="4"/>
  <c r="B412" i="4"/>
  <c r="B411" i="4"/>
  <c r="B410" i="4"/>
  <c r="B409" i="4"/>
  <c r="B408" i="4"/>
  <c r="B407" i="4"/>
  <c r="B406" i="4"/>
  <c r="B405" i="4"/>
  <c r="B404" i="4"/>
  <c r="B403" i="4"/>
  <c r="B402" i="4"/>
  <c r="B401" i="4"/>
  <c r="B400" i="4"/>
  <c r="B399" i="4"/>
  <c r="B398" i="4"/>
  <c r="B397" i="4"/>
  <c r="B396" i="4"/>
  <c r="B395" i="4"/>
  <c r="B394" i="4"/>
  <c r="B393" i="4"/>
  <c r="B392" i="4"/>
  <c r="B391" i="4"/>
  <c r="B390" i="4"/>
  <c r="B389" i="4"/>
  <c r="B388" i="4"/>
  <c r="B387" i="4"/>
  <c r="B386" i="4"/>
  <c r="B385" i="4"/>
  <c r="B384" i="4"/>
  <c r="B383" i="4"/>
  <c r="B382" i="4"/>
  <c r="B381" i="4"/>
  <c r="B380" i="4"/>
  <c r="B379" i="4"/>
  <c r="B378" i="4"/>
  <c r="B377" i="4"/>
  <c r="B376" i="4"/>
  <c r="B375" i="4"/>
  <c r="B374" i="4"/>
  <c r="B373" i="4"/>
  <c r="B372" i="4"/>
  <c r="B371" i="4"/>
  <c r="B370" i="4"/>
  <c r="B369" i="4"/>
  <c r="B368" i="4"/>
  <c r="B367" i="4"/>
  <c r="B366" i="4"/>
  <c r="B365" i="4"/>
  <c r="B364" i="4"/>
  <c r="B363" i="4"/>
  <c r="B362" i="4"/>
  <c r="B361" i="4"/>
  <c r="B360" i="4"/>
  <c r="B359" i="4"/>
  <c r="B358" i="4"/>
  <c r="B357" i="4"/>
  <c r="B356" i="4"/>
  <c r="B355" i="4"/>
  <c r="B354" i="4"/>
  <c r="B353" i="4"/>
  <c r="B352" i="4"/>
  <c r="B351" i="4"/>
  <c r="B350" i="4"/>
  <c r="B349" i="4"/>
  <c r="B348" i="4"/>
  <c r="B347" i="4"/>
  <c r="B346" i="4"/>
  <c r="B345" i="4"/>
  <c r="B344" i="4"/>
  <c r="B343" i="4"/>
  <c r="B342" i="4"/>
  <c r="B341" i="4"/>
  <c r="B340" i="4"/>
  <c r="B339" i="4"/>
  <c r="B338" i="4"/>
  <c r="B337" i="4"/>
  <c r="B336" i="4"/>
  <c r="B335" i="4"/>
  <c r="B334" i="4"/>
  <c r="B333" i="4"/>
  <c r="B332" i="4"/>
  <c r="B331" i="4"/>
  <c r="B330" i="4"/>
  <c r="B329" i="4"/>
  <c r="B328" i="4"/>
  <c r="B327" i="4"/>
  <c r="B326" i="4"/>
  <c r="B325" i="4"/>
  <c r="B324" i="4"/>
  <c r="B323" i="4"/>
  <c r="B322" i="4"/>
  <c r="B321" i="4"/>
  <c r="B320" i="4"/>
  <c r="B319" i="4"/>
  <c r="B318" i="4"/>
  <c r="B317" i="4"/>
  <c r="B316" i="4"/>
  <c r="B315" i="4"/>
  <c r="B314" i="4"/>
  <c r="B313" i="4"/>
  <c r="B312" i="4"/>
  <c r="B311" i="4"/>
  <c r="B310" i="4"/>
  <c r="B309" i="4"/>
  <c r="B308" i="4"/>
  <c r="B307" i="4"/>
  <c r="B306" i="4"/>
  <c r="B305" i="4"/>
  <c r="B304" i="4"/>
  <c r="B303" i="4"/>
  <c r="B302" i="4"/>
  <c r="B301" i="4"/>
  <c r="B300" i="4"/>
  <c r="B299" i="4"/>
  <c r="B298" i="4"/>
  <c r="B297" i="4"/>
  <c r="B296" i="4"/>
  <c r="B295" i="4"/>
  <c r="B294" i="4"/>
  <c r="B293" i="4"/>
  <c r="B292" i="4"/>
  <c r="B291" i="4"/>
  <c r="B290" i="4"/>
  <c r="B289" i="4"/>
  <c r="B288" i="4"/>
  <c r="B287" i="4"/>
  <c r="B286" i="4"/>
  <c r="B285" i="4"/>
  <c r="B284" i="4"/>
  <c r="B283" i="4"/>
  <c r="B282" i="4"/>
  <c r="B281" i="4"/>
  <c r="B280" i="4"/>
  <c r="B279" i="4"/>
  <c r="B278" i="4"/>
  <c r="B277" i="4"/>
  <c r="B276" i="4"/>
  <c r="B275" i="4"/>
  <c r="B274" i="4"/>
  <c r="B273" i="4"/>
  <c r="B272" i="4"/>
  <c r="B271" i="4"/>
  <c r="B270" i="4"/>
  <c r="B269" i="4"/>
  <c r="B268" i="4"/>
  <c r="B267" i="4"/>
  <c r="B266" i="4"/>
  <c r="B265" i="4"/>
  <c r="B264" i="4"/>
  <c r="B263" i="4"/>
  <c r="B262" i="4"/>
  <c r="B261" i="4"/>
  <c r="B260" i="4"/>
  <c r="B259" i="4"/>
  <c r="B258" i="4"/>
  <c r="B257" i="4"/>
  <c r="B256" i="4"/>
  <c r="B255" i="4"/>
  <c r="B254" i="4"/>
  <c r="B253" i="4"/>
  <c r="B252" i="4"/>
  <c r="B251" i="4"/>
  <c r="B250" i="4"/>
  <c r="B249" i="4"/>
  <c r="B248" i="4"/>
  <c r="B247" i="4"/>
  <c r="B246" i="4"/>
  <c r="B245" i="4"/>
  <c r="B244" i="4"/>
  <c r="B243" i="4"/>
  <c r="B242" i="4"/>
  <c r="B241" i="4"/>
  <c r="B240" i="4"/>
  <c r="B239" i="4"/>
  <c r="B238" i="4"/>
  <c r="B237" i="4"/>
  <c r="B236" i="4"/>
  <c r="B235" i="4"/>
  <c r="B234" i="4"/>
  <c r="B233" i="4"/>
  <c r="B232" i="4"/>
  <c r="B231" i="4"/>
  <c r="B230" i="4"/>
  <c r="B229" i="4"/>
  <c r="B228" i="4"/>
  <c r="B227" i="4"/>
  <c r="B226" i="4"/>
  <c r="B225" i="4"/>
  <c r="B224" i="4"/>
  <c r="B223" i="4"/>
  <c r="B220" i="4"/>
  <c r="B219" i="4"/>
  <c r="B218" i="4"/>
  <c r="B217" i="4"/>
  <c r="B216" i="4"/>
  <c r="B215" i="4"/>
  <c r="B214" i="4"/>
  <c r="B213" i="4"/>
  <c r="B212" i="4"/>
  <c r="B211" i="4"/>
  <c r="B210" i="4"/>
  <c r="B209" i="4"/>
  <c r="B208" i="4"/>
  <c r="B207" i="4"/>
  <c r="B206" i="4"/>
  <c r="B205" i="4"/>
  <c r="B204" i="4"/>
  <c r="B203" i="4"/>
  <c r="B202" i="4"/>
  <c r="B201" i="4"/>
  <c r="B198" i="4"/>
  <c r="B197" i="4"/>
  <c r="B196" i="4"/>
  <c r="B195" i="4"/>
  <c r="B194" i="4"/>
  <c r="B193" i="4"/>
  <c r="B192" i="4"/>
  <c r="B191" i="4"/>
  <c r="B190" i="4"/>
  <c r="B189" i="4"/>
  <c r="B188" i="4"/>
  <c r="B187" i="4"/>
  <c r="B186" i="4"/>
  <c r="B185" i="4"/>
  <c r="B184" i="4"/>
  <c r="B183" i="4"/>
  <c r="B182" i="4"/>
  <c r="B181" i="4"/>
  <c r="B180" i="4"/>
  <c r="B179" i="4"/>
  <c r="B178" i="4"/>
  <c r="B177" i="4"/>
  <c r="B176" i="4"/>
  <c r="B175" i="4"/>
  <c r="B174" i="4"/>
  <c r="B173" i="4"/>
  <c r="B172" i="4"/>
  <c r="B171" i="4"/>
  <c r="B170" i="4"/>
  <c r="B169" i="4"/>
  <c r="B166" i="4"/>
  <c r="B165" i="4"/>
  <c r="B164" i="4"/>
  <c r="B163" i="4"/>
  <c r="B162" i="4"/>
  <c r="B161" i="4"/>
  <c r="B160" i="4"/>
  <c r="B159" i="4"/>
  <c r="B158" i="4"/>
  <c r="B157" i="4"/>
  <c r="B156" i="4"/>
  <c r="B155" i="4"/>
  <c r="B154" i="4"/>
  <c r="B153" i="4"/>
  <c r="B152" i="4"/>
  <c r="B151" i="4"/>
  <c r="B150" i="4"/>
  <c r="B149" i="4"/>
  <c r="B148" i="4"/>
  <c r="B147" i="4"/>
  <c r="B146" i="4"/>
  <c r="B145" i="4"/>
  <c r="B144" i="4"/>
  <c r="B143" i="4"/>
  <c r="B142" i="4"/>
  <c r="B141" i="4"/>
  <c r="B140" i="4"/>
  <c r="B139" i="4"/>
  <c r="B138" i="4"/>
  <c r="B135" i="4"/>
  <c r="B134" i="4"/>
  <c r="B133" i="4"/>
  <c r="B132" i="4"/>
  <c r="B131" i="4"/>
  <c r="B130" i="4"/>
  <c r="B129" i="4"/>
  <c r="B128" i="4"/>
  <c r="B127" i="4"/>
  <c r="B126" i="4"/>
  <c r="B125" i="4"/>
  <c r="B124" i="4"/>
  <c r="B123" i="4"/>
  <c r="B122" i="4"/>
  <c r="B121" i="4"/>
  <c r="B120" i="4"/>
  <c r="B119" i="4"/>
  <c r="B118" i="4"/>
  <c r="B117" i="4"/>
  <c r="B116" i="4"/>
  <c r="B113" i="4"/>
  <c r="B112" i="4"/>
  <c r="B111" i="4"/>
  <c r="B110" i="4"/>
  <c r="B109" i="4"/>
  <c r="B108" i="4"/>
  <c r="B107" i="4"/>
  <c r="B106" i="4"/>
  <c r="B105" i="4"/>
  <c r="B104" i="4"/>
  <c r="B103" i="4"/>
  <c r="B102" i="4"/>
  <c r="B101" i="4"/>
  <c r="B100" i="4"/>
  <c r="B97" i="4"/>
  <c r="B96" i="4"/>
  <c r="B95" i="4"/>
  <c r="B94" i="4"/>
  <c r="B93" i="4"/>
  <c r="B92" i="4"/>
  <c r="B91" i="4"/>
  <c r="B90" i="4"/>
  <c r="B89" i="4"/>
  <c r="B88" i="4"/>
  <c r="B87" i="4"/>
  <c r="B86" i="4"/>
  <c r="B84" i="4"/>
  <c r="B83" i="4"/>
  <c r="B82" i="4"/>
  <c r="B81" i="4"/>
  <c r="B80" i="4"/>
  <c r="B79" i="4"/>
  <c r="B78" i="4"/>
  <c r="B77" i="4"/>
  <c r="B76" i="4"/>
  <c r="B75" i="4"/>
  <c r="B74" i="4"/>
  <c r="B73" i="4"/>
  <c r="B72" i="4"/>
  <c r="B71" i="4"/>
  <c r="B70" i="4"/>
  <c r="B69" i="4"/>
  <c r="B68" i="4"/>
  <c r="B67" i="4"/>
  <c r="B66" i="4"/>
  <c r="B65" i="4"/>
  <c r="B64" i="4"/>
  <c r="B63" i="4"/>
  <c r="B62" i="4"/>
  <c r="B61" i="4"/>
  <c r="B60" i="4"/>
  <c r="B59" i="4"/>
  <c r="B58" i="4"/>
  <c r="B57" i="4"/>
  <c r="B56" i="4"/>
  <c r="B55" i="4"/>
  <c r="B53" i="4"/>
  <c r="B52" i="4"/>
  <c r="B51" i="4"/>
  <c r="B50" i="4"/>
  <c r="B49" i="4"/>
  <c r="B48" i="4"/>
  <c r="B47" i="4"/>
  <c r="B46" i="4"/>
  <c r="B45" i="4"/>
  <c r="B44" i="4"/>
  <c r="B43" i="4"/>
  <c r="B42" i="4"/>
  <c r="B41" i="4"/>
  <c r="B40" i="4"/>
  <c r="B39" i="4"/>
  <c r="B38" i="4"/>
  <c r="B37" i="4"/>
  <c r="B36" i="4"/>
  <c r="B35" i="4"/>
  <c r="B34" i="4"/>
  <c r="B33" i="4"/>
  <c r="B32" i="4"/>
  <c r="B31" i="4"/>
  <c r="B30" i="4"/>
  <c r="B29" i="4"/>
  <c r="B28" i="4"/>
  <c r="B27" i="4"/>
  <c r="B26" i="4"/>
  <c r="B25" i="4"/>
  <c r="B24" i="4"/>
  <c r="B23" i="4"/>
  <c r="B22" i="4"/>
  <c r="B21" i="4"/>
  <c r="B20" i="4"/>
  <c r="B19" i="4"/>
  <c r="B18" i="4"/>
  <c r="B17" i="4"/>
  <c r="B16" i="4"/>
  <c r="B15" i="4"/>
  <c r="B14" i="4"/>
  <c r="B13" i="4"/>
  <c r="B12" i="4"/>
  <c r="B11" i="4"/>
  <c r="B10" i="4"/>
  <c r="B9" i="4"/>
  <c r="B8" i="4"/>
  <c r="B7" i="4"/>
  <c r="B6" i="4"/>
  <c r="B5" i="4"/>
  <c r="B4" i="4"/>
  <c r="B3" i="4"/>
  <c r="B2" i="4"/>
  <c r="C13" i="3"/>
  <c r="G13" i="3" s="1"/>
  <c r="C12" i="3"/>
  <c r="G12" i="3" s="1"/>
  <c r="C11" i="3"/>
  <c r="G11" i="3" s="1"/>
  <c r="C10" i="3"/>
  <c r="G10" i="3" s="1"/>
  <c r="C9" i="3"/>
  <c r="G9" i="3" s="1"/>
  <c r="C8" i="3"/>
  <c r="G8" i="3" s="1"/>
  <c r="G7" i="3"/>
  <c r="I4" i="3"/>
  <c r="L4" i="3" s="1"/>
  <c r="Q4" i="1"/>
  <c r="Q3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68" i="1"/>
  <c r="C69" i="1"/>
  <c r="C70" i="1"/>
  <c r="C71" i="1"/>
  <c r="C72" i="1"/>
  <c r="C73" i="1"/>
  <c r="C74" i="1"/>
  <c r="C75" i="1"/>
  <c r="C76" i="1"/>
  <c r="C77" i="1"/>
  <c r="C78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2" i="1"/>
  <c r="F38" i="5" l="1"/>
  <c r="F37" i="5"/>
  <c r="H33" i="5"/>
  <c r="H29" i="5"/>
  <c r="F41" i="5"/>
  <c r="F40" i="5"/>
  <c r="F39" i="5"/>
  <c r="G11" i="2"/>
  <c r="H24" i="2" l="1"/>
  <c r="E38" i="2" s="1"/>
  <c r="H38" i="2" s="1"/>
  <c r="G11" i="5"/>
  <c r="H24" i="5" s="1"/>
  <c r="H27" i="2"/>
  <c r="K12" i="3"/>
  <c r="K10" i="3"/>
  <c r="K13" i="3"/>
  <c r="I10" i="3"/>
  <c r="I9" i="3"/>
  <c r="I8" i="3"/>
  <c r="I7" i="3"/>
  <c r="K6" i="3"/>
  <c r="K5" i="3"/>
  <c r="I5" i="3"/>
  <c r="I13" i="3"/>
  <c r="I12" i="3"/>
  <c r="K11" i="3"/>
  <c r="I11" i="3"/>
  <c r="K9" i="3"/>
  <c r="K8" i="3"/>
  <c r="K7" i="3"/>
  <c r="I6" i="3"/>
  <c r="J9" i="3"/>
  <c r="J7" i="3"/>
  <c r="H27" i="5" l="1"/>
  <c r="H26" i="2"/>
  <c r="J5" i="3"/>
  <c r="L5" i="3" s="1"/>
  <c r="J12" i="3"/>
  <c r="L12" i="3" s="1"/>
  <c r="J11" i="3"/>
  <c r="L11" i="3" s="1"/>
  <c r="J10" i="3"/>
  <c r="L10" i="3" s="1"/>
  <c r="J8" i="3"/>
  <c r="L8" i="3" s="1"/>
  <c r="J6" i="3"/>
  <c r="L6" i="3" s="1"/>
  <c r="H28" i="2" s="1"/>
  <c r="J13" i="3"/>
  <c r="L13" i="3" s="1"/>
  <c r="L9" i="3"/>
  <c r="L7" i="3"/>
  <c r="H26" i="5" l="1"/>
  <c r="H30" i="5" s="1"/>
  <c r="H35" i="5" s="1"/>
  <c r="L33" i="2" s="1"/>
  <c r="E38" i="5"/>
  <c r="H38" i="5" s="1"/>
  <c r="H30" i="2"/>
  <c r="H35" i="2" s="1"/>
  <c r="E43" i="2" l="1"/>
  <c r="F43" i="2" s="1"/>
  <c r="K33" i="2"/>
  <c r="E40" i="5"/>
  <c r="H40" i="5" s="1"/>
  <c r="E41" i="5"/>
  <c r="H41" i="5" s="1"/>
  <c r="E42" i="5"/>
  <c r="E39" i="5"/>
  <c r="H39" i="5" s="1"/>
  <c r="E45" i="5"/>
  <c r="E44" i="5"/>
  <c r="E43" i="5"/>
  <c r="E37" i="5"/>
  <c r="H37" i="5" s="1"/>
  <c r="E42" i="2"/>
  <c r="F42" i="2" s="1"/>
  <c r="E39" i="2"/>
  <c r="H39" i="2" s="1"/>
  <c r="E41" i="2"/>
  <c r="H41" i="2" s="1"/>
  <c r="E40" i="2"/>
  <c r="H40" i="2" s="1"/>
  <c r="E37" i="2"/>
  <c r="H37" i="2" s="1"/>
  <c r="E44" i="2"/>
  <c r="F44" i="2" s="1"/>
  <c r="E45" i="2"/>
  <c r="F45" i="2" s="1"/>
  <c r="F42" i="5" l="1"/>
  <c r="F43" i="5"/>
  <c r="F45" i="5"/>
  <c r="F44" i="5"/>
  <c r="H42" i="2"/>
  <c r="H43" i="2"/>
  <c r="H44" i="2"/>
  <c r="H45" i="2"/>
  <c r="H42" i="5" l="1"/>
  <c r="H43" i="5"/>
  <c r="H45" i="5"/>
  <c r="H44" i="5"/>
  <c r="H46" i="2"/>
  <c r="K34" i="2" l="1"/>
  <c r="H46" i="5"/>
  <c r="L34" i="2" s="1"/>
</calcChain>
</file>

<file path=xl/sharedStrings.xml><?xml version="1.0" encoding="utf-8"?>
<sst xmlns="http://schemas.openxmlformats.org/spreadsheetml/2006/main" count="5986" uniqueCount="417">
  <si>
    <t>Rédacteur</t>
  </si>
  <si>
    <t>Filière</t>
  </si>
  <si>
    <t>Cadre d'emploi</t>
  </si>
  <si>
    <t>Grade</t>
  </si>
  <si>
    <t>Echelon</t>
  </si>
  <si>
    <t>IM</t>
  </si>
  <si>
    <t>Catégorie</t>
  </si>
  <si>
    <t>Administrative</t>
  </si>
  <si>
    <t>B</t>
  </si>
  <si>
    <t>Rédacteurs territoriaux</t>
  </si>
  <si>
    <t>Attaché</t>
  </si>
  <si>
    <t>Attaché principal</t>
  </si>
  <si>
    <t>HEA1</t>
  </si>
  <si>
    <t>HEA2</t>
  </si>
  <si>
    <t>HEA3</t>
  </si>
  <si>
    <t>A</t>
  </si>
  <si>
    <t>Attachés territoriaux</t>
  </si>
  <si>
    <t>Attaché hors classe</t>
  </si>
  <si>
    <t>Animation</t>
  </si>
  <si>
    <t>Technique</t>
  </si>
  <si>
    <t>Attaché territoriaux</t>
  </si>
  <si>
    <t>Attachés_territoriaux</t>
  </si>
  <si>
    <t>Rédacteurs_territoriaux</t>
  </si>
  <si>
    <t>Adjoints_administratifs</t>
  </si>
  <si>
    <t>Statut</t>
  </si>
  <si>
    <t>Titulaire</t>
  </si>
  <si>
    <t>Non titulaire</t>
  </si>
  <si>
    <t>Echelon :</t>
  </si>
  <si>
    <t>IM :</t>
  </si>
  <si>
    <t>NBI :</t>
  </si>
  <si>
    <t>Statut :</t>
  </si>
  <si>
    <t>Filière :</t>
  </si>
  <si>
    <t>Cadre d'emplois :</t>
  </si>
  <si>
    <t>Grade :</t>
  </si>
  <si>
    <t>Durée hebdo. :</t>
  </si>
  <si>
    <t>Régime indem. :</t>
  </si>
  <si>
    <t>Nombre d'enfants :</t>
  </si>
  <si>
    <t>Traitement de base indiciaire</t>
  </si>
  <si>
    <t>Supplément familial de traitement</t>
  </si>
  <si>
    <t>Indemnité compensatrice hausse CSG</t>
  </si>
  <si>
    <t>CNRACL</t>
  </si>
  <si>
    <t>CSG</t>
  </si>
  <si>
    <t>CSG déductible</t>
  </si>
  <si>
    <t>Base</t>
  </si>
  <si>
    <t>Taux</t>
  </si>
  <si>
    <t>Retenue</t>
  </si>
  <si>
    <t>Gain</t>
  </si>
  <si>
    <t>Salariales</t>
  </si>
  <si>
    <t>Eléments de paie</t>
  </si>
  <si>
    <t>NBI</t>
  </si>
  <si>
    <t>Indemnité de résidence</t>
  </si>
  <si>
    <t>Indem Fonction Sujétion et Expertise</t>
  </si>
  <si>
    <t>Transfert prime point</t>
  </si>
  <si>
    <t>SALAIRE BRUT</t>
  </si>
  <si>
    <t>RAFP</t>
  </si>
  <si>
    <t>RDS</t>
  </si>
  <si>
    <t>SS Vieillesse totalité</t>
  </si>
  <si>
    <t>SS Vieillesse plafonnée</t>
  </si>
  <si>
    <t>IRCANTEC Tranche A</t>
  </si>
  <si>
    <t>IRCANTEC Tranche B</t>
  </si>
  <si>
    <t>Prime grand âge</t>
  </si>
  <si>
    <t>Complément Traitement indiciaire Ségur</t>
  </si>
  <si>
    <t>Temps partiel. :</t>
  </si>
  <si>
    <t>SALAIRE NET (avant PAS)</t>
  </si>
  <si>
    <t>Prime fin d'année</t>
  </si>
  <si>
    <t>HEB1</t>
  </si>
  <si>
    <t>HEB2</t>
  </si>
  <si>
    <t>HEB3</t>
  </si>
  <si>
    <t xml:space="preserve">Adjoint Administratif Principal 2° classe </t>
  </si>
  <si>
    <t xml:space="preserve">Adjoint Administratif Principal 1° classe </t>
  </si>
  <si>
    <t>Adjoint Administratif</t>
  </si>
  <si>
    <t>Adjoints administratifs</t>
  </si>
  <si>
    <t>Echelons</t>
  </si>
  <si>
    <t>Clé</t>
  </si>
  <si>
    <t>C</t>
  </si>
  <si>
    <t>Adjoints administratifs territoriaux</t>
  </si>
  <si>
    <t>Temps partiel</t>
  </si>
  <si>
    <t>Plancher</t>
  </si>
  <si>
    <t>Plafond</t>
  </si>
  <si>
    <t>Elément fixe mensuel</t>
  </si>
  <si>
    <t>Elément proportionnel</t>
  </si>
  <si>
    <t>Montant</t>
  </si>
  <si>
    <t>-</t>
  </si>
  <si>
    <t>Code régime</t>
  </si>
  <si>
    <t>Régime Libellé</t>
  </si>
  <si>
    <t>Grade_L</t>
  </si>
  <si>
    <t>Montant mensuel</t>
  </si>
  <si>
    <t>Observations</t>
  </si>
  <si>
    <t>Ingénieur</t>
  </si>
  <si>
    <t>02</t>
  </si>
  <si>
    <t>Directeur</t>
  </si>
  <si>
    <t>1005</t>
  </si>
  <si>
    <t>Administrateur</t>
  </si>
  <si>
    <t>1016</t>
  </si>
  <si>
    <t>Directeur ter</t>
  </si>
  <si>
    <t>1009</t>
  </si>
  <si>
    <t>1019</t>
  </si>
  <si>
    <t>1010</t>
  </si>
  <si>
    <t>2744</t>
  </si>
  <si>
    <t>Ingénieur en chef HCl</t>
  </si>
  <si>
    <t>2742</t>
  </si>
  <si>
    <t>Ingénieur en chef</t>
  </si>
  <si>
    <t>2746</t>
  </si>
  <si>
    <t>Ingénieur général</t>
  </si>
  <si>
    <t>Ingénieur HCl</t>
  </si>
  <si>
    <t>Ingénieur Pal</t>
  </si>
  <si>
    <t>3106</t>
  </si>
  <si>
    <t>3101</t>
  </si>
  <si>
    <t>3103</t>
  </si>
  <si>
    <t>3105</t>
  </si>
  <si>
    <t>3207</t>
  </si>
  <si>
    <t>3202</t>
  </si>
  <si>
    <t>3204</t>
  </si>
  <si>
    <t>4006</t>
  </si>
  <si>
    <t>Conseiller principal des APS</t>
  </si>
  <si>
    <t>4000</t>
  </si>
  <si>
    <t>Conseiller des APS</t>
  </si>
  <si>
    <t>5732</t>
  </si>
  <si>
    <t>5730</t>
  </si>
  <si>
    <t>80</t>
  </si>
  <si>
    <t>Directeur expertise informatique</t>
  </si>
  <si>
    <t>Directeur DSI</t>
  </si>
  <si>
    <t>03</t>
  </si>
  <si>
    <t>Responsable de service</t>
  </si>
  <si>
    <t>3308</t>
  </si>
  <si>
    <t>3306</t>
  </si>
  <si>
    <t>5464</t>
  </si>
  <si>
    <t>5462</t>
  </si>
  <si>
    <t>5460</t>
  </si>
  <si>
    <t>5300</t>
  </si>
  <si>
    <t>5302</t>
  </si>
  <si>
    <t>81</t>
  </si>
  <si>
    <t>Responsable de service expertise informatique</t>
  </si>
  <si>
    <t>04</t>
  </si>
  <si>
    <t>Responsable de secteur</t>
  </si>
  <si>
    <t>3408</t>
  </si>
  <si>
    <t>3406</t>
  </si>
  <si>
    <t>Bibliothécaire</t>
  </si>
  <si>
    <t>5463</t>
  </si>
  <si>
    <t>5975</t>
  </si>
  <si>
    <t>5978</t>
  </si>
  <si>
    <t>82</t>
  </si>
  <si>
    <t>Responsable de secteur expertise informatique</t>
  </si>
  <si>
    <t>42</t>
  </si>
  <si>
    <t>Responsable de secteur-Sujétions niv 2</t>
  </si>
  <si>
    <t>Poste responsable du secteur paramédical du CMS</t>
  </si>
  <si>
    <t>05</t>
  </si>
  <si>
    <t>Responsable d'unité</t>
  </si>
  <si>
    <t>89</t>
  </si>
  <si>
    <t>Responsable d'unité expertise informatique</t>
  </si>
  <si>
    <t>06</t>
  </si>
  <si>
    <t>Responsable d'équipe</t>
  </si>
  <si>
    <t>84</t>
  </si>
  <si>
    <t>Responsable d'équipe expertise informatique</t>
  </si>
  <si>
    <t>Non encadrant.e</t>
  </si>
  <si>
    <t>5905</t>
  </si>
  <si>
    <t>5906</t>
  </si>
  <si>
    <t>5907</t>
  </si>
  <si>
    <t>5157</t>
  </si>
  <si>
    <t>5159</t>
  </si>
  <si>
    <t>5714</t>
  </si>
  <si>
    <t>5717</t>
  </si>
  <si>
    <t>5716</t>
  </si>
  <si>
    <t>Cadre de santé</t>
  </si>
  <si>
    <t>5736</t>
  </si>
  <si>
    <t>5738</t>
  </si>
  <si>
    <t>Non encadrant direction ou coordination</t>
  </si>
  <si>
    <t>Expertise informatique</t>
  </si>
  <si>
    <t>Non encadrant.e direction ou coordination expertise informatique</t>
  </si>
  <si>
    <t>Sujétions niveau 2</t>
  </si>
  <si>
    <t>CMS -
Postes Infirmier.e</t>
  </si>
  <si>
    <t>1036</t>
  </si>
  <si>
    <t>1037</t>
  </si>
  <si>
    <t>1038</t>
  </si>
  <si>
    <t>Technicien</t>
  </si>
  <si>
    <t>3610</t>
  </si>
  <si>
    <t>3612</t>
  </si>
  <si>
    <t>3614</t>
  </si>
  <si>
    <t>4110</t>
  </si>
  <si>
    <t>Educateur APS</t>
  </si>
  <si>
    <t>4112</t>
  </si>
  <si>
    <t>4114</t>
  </si>
  <si>
    <t>8005</t>
  </si>
  <si>
    <t>Animateur</t>
  </si>
  <si>
    <t>8006</t>
  </si>
  <si>
    <t>8007</t>
  </si>
  <si>
    <t>87</t>
  </si>
  <si>
    <t>Responsable de secteur expertise informatique poste A</t>
  </si>
  <si>
    <t>88</t>
  </si>
  <si>
    <t>Responsable d'unité expertise informatique poste A</t>
  </si>
  <si>
    <t>90</t>
  </si>
  <si>
    <t>Responsable d'équipe expertise informatique poste A</t>
  </si>
  <si>
    <t>Fonctions de catégorie supérieure</t>
  </si>
  <si>
    <t>Fonctions de catégorie supérieure expertise informatique</t>
  </si>
  <si>
    <t>Non encadrant.e direction ou coordination</t>
  </si>
  <si>
    <t>Technicien réseau DSI</t>
  </si>
  <si>
    <t>Technicien réseau de la DSI</t>
  </si>
  <si>
    <t>86</t>
  </si>
  <si>
    <t>Non encadrant direct ou coord exp info</t>
  </si>
  <si>
    <t>Aides soignants</t>
  </si>
  <si>
    <t>1054</t>
  </si>
  <si>
    <t>1057</t>
  </si>
  <si>
    <t>1058</t>
  </si>
  <si>
    <t>3808</t>
  </si>
  <si>
    <t>3814</t>
  </si>
  <si>
    <t>3816</t>
  </si>
  <si>
    <t>4201</t>
  </si>
  <si>
    <t>4204</t>
  </si>
  <si>
    <t>4208</t>
  </si>
  <si>
    <t>5984</t>
  </si>
  <si>
    <t>5986</t>
  </si>
  <si>
    <t>5993</t>
  </si>
  <si>
    <t>5997</t>
  </si>
  <si>
    <t>5998</t>
  </si>
  <si>
    <t>8028</t>
  </si>
  <si>
    <t>8034</t>
  </si>
  <si>
    <t>8036</t>
  </si>
  <si>
    <t>2200</t>
  </si>
  <si>
    <t>2208</t>
  </si>
  <si>
    <t>2410</t>
  </si>
  <si>
    <t>2416</t>
  </si>
  <si>
    <t>2418</t>
  </si>
  <si>
    <t>Responsable d'équipe - sujétion exhumation</t>
  </si>
  <si>
    <t>Service des Affaires Civiles -
Poste Responsable technique cimetières</t>
  </si>
  <si>
    <t>Responsable d'équipe - sujétions niveau 1</t>
  </si>
  <si>
    <t>Service Parc Automobile - 
Poste Responsable Atelier</t>
  </si>
  <si>
    <t>Responsable d'équipe - sujétions niveau 2</t>
  </si>
  <si>
    <t>Centre Municipal de Santé - 
Poste Responsable entretien
Service MPPB - Postes Responsable Maçonnerie, Menuiserie, Peinture-Vitrerie, Metallerie, Plomberie-Couverture</t>
  </si>
  <si>
    <t>Responsable d'équipe - sujétions niveau 3</t>
  </si>
  <si>
    <t>Service Parc Automobile - 
Postes Responsable Transports en commun et Poids lourds</t>
  </si>
  <si>
    <t>Responsable d'équipe - sujétions niveau 4</t>
  </si>
  <si>
    <t>Service MPPB - Poste Responsable Electricité
Service Propreté des espaces publics - Poste Responsable Anti-Graffitis</t>
  </si>
  <si>
    <t>Responsable d'équipe - sujétions niveau 5</t>
  </si>
  <si>
    <t xml:space="preserve">Service Maintenance Travaux Voirie - 
Postes Responsable Atelier Mécanique - Magasin et Interventions Maintenance Voirie </t>
  </si>
  <si>
    <t>07</t>
  </si>
  <si>
    <t>Référent d'équipe</t>
  </si>
  <si>
    <t>Référent d'équipe - sujétions niveau 1</t>
  </si>
  <si>
    <t>Service Parc Automobile - Poste Mécanicien
Service Proporeté des espaces publics - 
Postes Agent nettoiement Robin, Agent nettoiement Rigaud</t>
  </si>
  <si>
    <t>Référent d'équipe - sujétions niveau 2</t>
  </si>
  <si>
    <t>Service MPPB -
Postes Maçon, Menuisier, Peintre, Serrurier, Plombier</t>
  </si>
  <si>
    <t>Référent d'équipe - sujétions niveau 3</t>
  </si>
  <si>
    <t>Référent d'équipe - sujétions niveau 4</t>
  </si>
  <si>
    <t>Référent électricien</t>
  </si>
  <si>
    <t>Référent d'équipe - sujétions niveau 5</t>
  </si>
  <si>
    <t>Aux. puér Pal 2Cl (anc)</t>
  </si>
  <si>
    <t>Aux. puér Pal 1Cl (anc)</t>
  </si>
  <si>
    <t>Auxiliaire soins Pal 2Cl</t>
  </si>
  <si>
    <t>Auxiliaire soins Pal 1Cl</t>
  </si>
  <si>
    <t>Sujétion exhumation</t>
  </si>
  <si>
    <t>Service des Affaires Civiles -
Postes Agent technique cimetières</t>
  </si>
  <si>
    <t>Sujétions niveau 1</t>
  </si>
  <si>
    <t>Service Parc Automobile - Postes Mécanicien et Agent d'entretien
Service Proporeté des Espaces Publics - Postes Agent Nettoiement Lamant, agent nettoiement, agent nettoiement Robin, agent nettoiement Rigaud</t>
  </si>
  <si>
    <t>Service Parc Automobile - Postes Conducteur Transports en commun 
Centre Municipal de Santé - Poste Agent d'entretien
Service MPPB - Postes Maçon, Menuisier, Peintre, Serrurier, Plombier
Service Maintenance Travaux Voirie - Poste Agent atelier mécanique</t>
  </si>
  <si>
    <t>Sujétions niveau 3</t>
  </si>
  <si>
    <t>Service Parc Automobile - 
Postes Conducteur Poids lourds et Conducteur dépôts/assainissement
Service Maintenance Travaux Voirie -
Poste Chargé de la réalisation du mobilier urbain</t>
  </si>
  <si>
    <t>Sujétions niveau 4</t>
  </si>
  <si>
    <t>Service MPPB - Postes Electricien
Service Maintenance Travaux Voirie - Postes agent atelier mécanique - magasin
Service Propreté des espaces publics - Postes Agent Anti-Graffitis</t>
  </si>
  <si>
    <t>Sujétions niveau 5</t>
  </si>
  <si>
    <t>Service Maintenance Travaux Voirie - Postes Agent polyvalent voirie
Service informaiton - Opérateur Prépresse</t>
  </si>
  <si>
    <t>08</t>
  </si>
  <si>
    <t>Tuteur de mobilité</t>
  </si>
  <si>
    <t>09</t>
  </si>
  <si>
    <t>Assistant de prévention</t>
  </si>
  <si>
    <t>IFSE</t>
  </si>
  <si>
    <t>Montant forcé :</t>
  </si>
  <si>
    <t>Indeminité CSG :</t>
  </si>
  <si>
    <t>TPP</t>
  </si>
  <si>
    <t>SFT</t>
  </si>
  <si>
    <t>Ingénieurs territoriaux</t>
  </si>
  <si>
    <t>Ingénieur principal</t>
  </si>
  <si>
    <t>Ingénieur hors classe</t>
  </si>
  <si>
    <t>Techniciens_territoriaux</t>
  </si>
  <si>
    <t>Ingénieurs_territoriaux</t>
  </si>
  <si>
    <t>Adjoints_techniques</t>
  </si>
  <si>
    <t>&lt; 454</t>
  </si>
  <si>
    <t>&gt;722</t>
  </si>
  <si>
    <t>&lt;TI&lt;722</t>
  </si>
  <si>
    <t>Prime grand âge :</t>
  </si>
  <si>
    <t>CTI :</t>
  </si>
  <si>
    <t>Prime annuelle :</t>
  </si>
  <si>
    <t>Techniciens territoriaux</t>
  </si>
  <si>
    <t>Adjoints techniques</t>
  </si>
  <si>
    <t xml:space="preserve">Adjoint administratif principal 2° classe </t>
  </si>
  <si>
    <t>Adjoint administratif</t>
  </si>
  <si>
    <t xml:space="preserve">Adjoint administratif principal 1° classe </t>
  </si>
  <si>
    <t xml:space="preserve">Adjoint administratif Principal 1° classe </t>
  </si>
  <si>
    <t xml:space="preserve">Adjoint administratif Principal 2° classe </t>
  </si>
  <si>
    <t>Adjoint technique</t>
  </si>
  <si>
    <t xml:space="preserve">Adjoint technique principal 2° classe </t>
  </si>
  <si>
    <t xml:space="preserve">Adjoint technique principal 1° classe </t>
  </si>
  <si>
    <t>Rédacteur principal 2° classe</t>
  </si>
  <si>
    <t>Rédacteur principal 1° classe</t>
  </si>
  <si>
    <t>Technicien principal 2° classe</t>
  </si>
  <si>
    <t>Technicien principal 1° classe</t>
  </si>
  <si>
    <t>Segur</t>
  </si>
  <si>
    <t>PFA</t>
  </si>
  <si>
    <t>OUI</t>
  </si>
  <si>
    <t>PGA</t>
  </si>
  <si>
    <t>Indemnité différentielle SMIC</t>
  </si>
  <si>
    <t>SMIC</t>
  </si>
  <si>
    <t>Si CDI :</t>
  </si>
  <si>
    <t>Plafond SS</t>
  </si>
  <si>
    <t>Valeur du point :</t>
  </si>
  <si>
    <t>Sportive</t>
  </si>
  <si>
    <t>Culturelle</t>
  </si>
  <si>
    <t>Animateurs_territoriaux</t>
  </si>
  <si>
    <t>Animateurs territoriaux</t>
  </si>
  <si>
    <t>Adjoints_animation</t>
  </si>
  <si>
    <t>Adjoints animation</t>
  </si>
  <si>
    <t>Animateur principal 2° classe</t>
  </si>
  <si>
    <t>Animateur principal 1° classe</t>
  </si>
  <si>
    <t>Adjoint animation</t>
  </si>
  <si>
    <t xml:space="preserve">Adjoint animation principal 2° classe </t>
  </si>
  <si>
    <t xml:space="preserve">Adjoint animation principal 1° classe </t>
  </si>
  <si>
    <t>Conseillers_APS_territoriaux</t>
  </si>
  <si>
    <t>Educateurs_APS_territoriaux</t>
  </si>
  <si>
    <t>Opérateurs_APS_territoriaux</t>
  </si>
  <si>
    <t>Conseillers APS territoriaux</t>
  </si>
  <si>
    <t>Educateurs APS territoriaux</t>
  </si>
  <si>
    <t>Opérateurs APS territoriaux</t>
  </si>
  <si>
    <t>Educateur APS principal 2° classe</t>
  </si>
  <si>
    <t>Educateur APS principal 1° classe</t>
  </si>
  <si>
    <t>Opérateur APS</t>
  </si>
  <si>
    <t>Opérateur APS qualifié</t>
  </si>
  <si>
    <t>Opérateur APS principal</t>
  </si>
  <si>
    <t>Attachés_conservation_territoriaux</t>
  </si>
  <si>
    <t>Bibliothécaires_territoriaux</t>
  </si>
  <si>
    <t>Conservateurs_bibliothèque_patrimoine_territoriaux</t>
  </si>
  <si>
    <t>Assistants_conservation_territoriaux</t>
  </si>
  <si>
    <t>Adjoints_patrimoine_territoriaux</t>
  </si>
  <si>
    <t>Attachés conservation territoriaux</t>
  </si>
  <si>
    <t>Bibliothécaires territoriaux</t>
  </si>
  <si>
    <t>Conservateurs bibliothèque patrimoine territoriaux</t>
  </si>
  <si>
    <t>Assistants conservation territoriaux</t>
  </si>
  <si>
    <t>Adjoints patrimoine territoriaux</t>
  </si>
  <si>
    <t>Attachés conservation</t>
  </si>
  <si>
    <t>Attachés conservation principal</t>
  </si>
  <si>
    <t>Bibliothécaire principal</t>
  </si>
  <si>
    <t>Conservateurs bibliothèque patrimoine</t>
  </si>
  <si>
    <t>Conservateurs bibliothèque patrimoine chef</t>
  </si>
  <si>
    <t>Assistants conservation</t>
  </si>
  <si>
    <t>Assistants conservation principal 2° classe</t>
  </si>
  <si>
    <t>Assistants conservation principal 1° classe</t>
  </si>
  <si>
    <t>Adjoint patrimoine</t>
  </si>
  <si>
    <t xml:space="preserve">Adjoint patrimoine principal 2° classe </t>
  </si>
  <si>
    <t xml:space="preserve">Adjoint patrimoine principal 1° classe </t>
  </si>
  <si>
    <t>Agents_maîtrise</t>
  </si>
  <si>
    <t>Agents maîtrise territoriaux</t>
  </si>
  <si>
    <t>Agents de maîtrise</t>
  </si>
  <si>
    <t>Agents de maîtrise principal</t>
  </si>
  <si>
    <t>Médico sociale</t>
  </si>
  <si>
    <t>Educateurs_jeunes_enfants_territoriaux</t>
  </si>
  <si>
    <t>Assistants_socio_éducatifs_territoriaux</t>
  </si>
  <si>
    <t>Conseillers_socio_éducatifs_territoriaux</t>
  </si>
  <si>
    <t>Pédi_Podo_Ergo_Orthopt_territoriaux</t>
  </si>
  <si>
    <t>Cadres_de_santé_territoriaux</t>
  </si>
  <si>
    <t>Infirmiers_soins_généraux_territoriaux</t>
  </si>
  <si>
    <t>Puéricultrices_territoriales</t>
  </si>
  <si>
    <t>Sages_femmes_territoriales</t>
  </si>
  <si>
    <t>Psychologues_territoriaux</t>
  </si>
  <si>
    <t>Aides_soignants_territoriaux</t>
  </si>
  <si>
    <t>Agents_sociaux_territoriaux</t>
  </si>
  <si>
    <t>ATSEM_territoriaux</t>
  </si>
  <si>
    <t>Auxiliaires_puéricultures_territoriaux</t>
  </si>
  <si>
    <t>Masseurs_Kiné_Psychomot_Orthophonistes_territoriaux</t>
  </si>
  <si>
    <t>Conseillers socio éducatifs territoriaux</t>
  </si>
  <si>
    <t>Pédi Podo Ergo Orthopt territoriaux</t>
  </si>
  <si>
    <t>Cadres de santé territoriaux</t>
  </si>
  <si>
    <t>Masseurs Kiné Psychomot Orthophonistes territoriaux</t>
  </si>
  <si>
    <t>Puéricultrices territoriales</t>
  </si>
  <si>
    <t>Infirmiers soins généraux territoriaux</t>
  </si>
  <si>
    <t>Sages femmes territoriales</t>
  </si>
  <si>
    <t>Psychologues territoriaux</t>
  </si>
  <si>
    <t>Educateurs jeunes enfants territoriaux</t>
  </si>
  <si>
    <t>Aides soignants territoriaux</t>
  </si>
  <si>
    <t>Auxiliaires puéricultures territoriaux</t>
  </si>
  <si>
    <t>Assistants socio éducatifs territoriaux</t>
  </si>
  <si>
    <t>ATSEM territoriaux</t>
  </si>
  <si>
    <t>Agents sociaux territoriaux</t>
  </si>
  <si>
    <t>Conseiller socio-éducatif</t>
  </si>
  <si>
    <t>Conseiller supérieur socio-éducatif</t>
  </si>
  <si>
    <t>Conseiller hors classe socio-éducatif</t>
  </si>
  <si>
    <t>Pédi Podo Ergo Orthopt classe normale</t>
  </si>
  <si>
    <t>Pédi Podo Ergo Orthopt hors classe</t>
  </si>
  <si>
    <t xml:space="preserve">Cadre supérieur de santé </t>
  </si>
  <si>
    <t>Masseurs Kiné Psychomot Orthophonistes territoriaux classe normale</t>
  </si>
  <si>
    <t>Masseurs Kiné Psychomot Orthophonistes territoriaux hors classe</t>
  </si>
  <si>
    <t>Puéricultrices</t>
  </si>
  <si>
    <t>Puéricultrices hors classe</t>
  </si>
  <si>
    <t>Infirmier en soins généraux hors classe</t>
  </si>
  <si>
    <t>Infirmier en soins généraux</t>
  </si>
  <si>
    <t>Sage-femme hors-classe</t>
  </si>
  <si>
    <t>Sage-femme de classe normale</t>
  </si>
  <si>
    <t>Psychologues hors classe</t>
  </si>
  <si>
    <t>Psychologues de classe normale</t>
  </si>
  <si>
    <t>Aide soignant de classe supérieure</t>
  </si>
  <si>
    <t>Aide soignant de classe normale</t>
  </si>
  <si>
    <t>Auxiliaire de puériculture de classe supérieure</t>
  </si>
  <si>
    <t>Auxiliaire de puériculture de classe normale</t>
  </si>
  <si>
    <t>Assistant socio-éducatif de classe exceptionnelle</t>
  </si>
  <si>
    <t>Assistant socio-éducatif</t>
  </si>
  <si>
    <t>Agent social</t>
  </si>
  <si>
    <t>Agent social principal 2° classe</t>
  </si>
  <si>
    <t>Agent social principal 1° classe</t>
  </si>
  <si>
    <t>ATSEM principal 2° classe</t>
  </si>
  <si>
    <t>ATSEM principal 1° classe</t>
  </si>
  <si>
    <t>Médico_sociale</t>
  </si>
  <si>
    <t>SIMULATEUR DE SALAIRE</t>
  </si>
  <si>
    <t>V1.2026.10</t>
  </si>
  <si>
    <t>Médico-sociale</t>
  </si>
  <si>
    <t>Educateur de jeunes enfants</t>
  </si>
  <si>
    <t>Educateur de jeunes enfants de classe exceptionnelle</t>
  </si>
  <si>
    <t>Mensuel</t>
  </si>
  <si>
    <t>Brut</t>
  </si>
  <si>
    <t>Net à payer</t>
  </si>
  <si>
    <t>Annuel *</t>
  </si>
  <si>
    <t>* PFA incluse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</si>
</sst>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_-* #,##0_-;\-* #,##0_-;_-* &quot;-&quot;??_-;_-@_-"/>
    <numFmt numFmtId="165" formatCode="_-* #,##0.00\ _€_-;\-* #,##0.00\ _€_-;_-* &quot;-&quot;??\ _€_-;_-@_-"/>
    <numFmt numFmtId="166" formatCode="#,##0.00\ &quot;€&quot;"/>
    <numFmt numFmtId="168" formatCode="0.000"/>
  </numFmts>
  <fonts count="15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1"/>
      <color theme="0"/>
      <name val="Arial Narrow"/>
      <family val="2"/>
    </font>
    <font>
      <sz val="10"/>
      <name val="Arial Narrow"/>
      <family val="2"/>
    </font>
    <font>
      <b/>
      <sz val="10"/>
      <color theme="0"/>
      <name val="Arial Narrow"/>
      <family val="2"/>
    </font>
    <font>
      <b/>
      <sz val="10"/>
      <name val="Arial Narrow"/>
      <family val="2"/>
    </font>
    <font>
      <i/>
      <sz val="10"/>
      <name val="Arial Narrow"/>
      <family val="2"/>
    </font>
    <font>
      <b/>
      <sz val="12"/>
      <name val="Arial"/>
      <family val="2"/>
    </font>
    <font>
      <b/>
      <sz val="10"/>
      <color theme="1"/>
      <name val="Arial Narrow"/>
      <family val="2"/>
    </font>
    <font>
      <b/>
      <sz val="12"/>
      <name val="Arial Narrow"/>
      <family val="2"/>
    </font>
    <font>
      <sz val="10"/>
      <color theme="1"/>
      <name val="Arial"/>
      <family val="2"/>
    </font>
    <font>
      <b/>
      <sz val="14"/>
      <name val="Arial Narrow"/>
      <family val="2"/>
    </font>
    <font>
      <i/>
      <sz val="8"/>
      <name val="Arial Narrow"/>
      <family val="2"/>
    </font>
  </fonts>
  <fills count="11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/>
        <bgColor indexed="64"/>
      </patternFill>
    </fill>
  </fills>
  <borders count="65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medium">
        <color theme="1"/>
      </left>
      <right/>
      <top style="medium">
        <color theme="1"/>
      </top>
      <bottom/>
      <diagonal/>
    </border>
    <border>
      <left/>
      <right/>
      <top style="medium">
        <color theme="1"/>
      </top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/>
      <top/>
      <bottom/>
      <diagonal/>
    </border>
    <border>
      <left/>
      <right style="medium">
        <color theme="1"/>
      </right>
      <top/>
      <bottom/>
      <diagonal/>
    </border>
    <border>
      <left style="medium">
        <color theme="1"/>
      </left>
      <right/>
      <top/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 style="thin">
        <color theme="1"/>
      </left>
      <right/>
      <top/>
      <bottom/>
      <diagonal/>
    </border>
    <border>
      <left/>
      <right style="thin">
        <color theme="1"/>
      </right>
      <top/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/>
      <top/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/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1"/>
      </left>
      <right style="medium">
        <color indexed="64"/>
      </right>
      <top style="medium">
        <color theme="1"/>
      </top>
      <bottom/>
      <diagonal/>
    </border>
    <border>
      <left style="medium">
        <color indexed="64"/>
      </left>
      <right style="medium">
        <color indexed="64"/>
      </right>
      <top style="medium">
        <color theme="1"/>
      </top>
      <bottom/>
      <diagonal/>
    </border>
    <border>
      <left style="medium">
        <color indexed="64"/>
      </left>
      <right style="medium">
        <color indexed="64"/>
      </right>
      <top style="medium">
        <color theme="1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theme="1"/>
      </top>
      <bottom style="medium">
        <color indexed="64"/>
      </bottom>
      <diagonal/>
    </border>
    <border>
      <left/>
      <right style="medium">
        <color indexed="64"/>
      </right>
      <top style="medium">
        <color theme="1"/>
      </top>
      <bottom style="medium">
        <color indexed="64"/>
      </bottom>
      <diagonal/>
    </border>
    <border>
      <left/>
      <right/>
      <top style="medium">
        <color theme="1"/>
      </top>
      <bottom style="medium">
        <color indexed="64"/>
      </bottom>
      <diagonal/>
    </border>
    <border>
      <left style="medium">
        <color theme="1"/>
      </left>
      <right style="medium">
        <color indexed="64"/>
      </right>
      <top/>
      <bottom/>
      <diagonal/>
    </border>
    <border>
      <left style="medium">
        <color theme="1"/>
      </left>
      <right style="medium">
        <color indexed="64"/>
      </right>
      <top/>
      <bottom style="medium">
        <color theme="1"/>
      </bottom>
      <diagonal/>
    </border>
    <border>
      <left style="medium">
        <color indexed="64"/>
      </left>
      <right style="medium">
        <color indexed="64"/>
      </right>
      <top/>
      <bottom style="medium">
        <color theme="1"/>
      </bottom>
      <diagonal/>
    </border>
    <border>
      <left style="medium">
        <color indexed="64"/>
      </left>
      <right style="thin">
        <color indexed="64"/>
      </right>
      <top/>
      <bottom style="medium">
        <color theme="1"/>
      </bottom>
      <diagonal/>
    </border>
    <border>
      <left style="medium">
        <color indexed="64"/>
      </left>
      <right/>
      <top/>
      <bottom style="medium">
        <color theme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theme="1"/>
      </bottom>
      <diagonal/>
    </border>
    <border>
      <left style="medium">
        <color indexed="64"/>
      </left>
      <right/>
      <top style="thin">
        <color indexed="64"/>
      </top>
      <bottom style="medium">
        <color theme="1"/>
      </bottom>
      <diagonal/>
    </border>
    <border>
      <left style="medium">
        <color indexed="64"/>
      </left>
      <right style="thin">
        <color indexed="64"/>
      </right>
      <top style="medium">
        <color theme="1"/>
      </top>
      <bottom/>
      <diagonal/>
    </border>
    <border>
      <left style="thin">
        <color indexed="64"/>
      </left>
      <right style="medium">
        <color indexed="64"/>
      </right>
      <top style="medium">
        <color theme="1"/>
      </top>
      <bottom/>
      <diagonal/>
    </border>
    <border>
      <left style="medium">
        <color indexed="64"/>
      </left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 style="thin">
        <color theme="1"/>
      </right>
      <top style="medium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medium">
        <color theme="1"/>
      </top>
      <bottom style="thin">
        <color theme="1"/>
      </bottom>
      <diagonal/>
    </border>
    <border>
      <left style="thin">
        <color theme="1"/>
      </left>
      <right style="medium">
        <color theme="1"/>
      </right>
      <top style="medium">
        <color theme="1"/>
      </top>
      <bottom style="thin">
        <color theme="1"/>
      </bottom>
      <diagonal/>
    </border>
    <border>
      <left style="medium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medium">
        <color theme="1"/>
      </right>
      <top style="thin">
        <color theme="1"/>
      </top>
      <bottom style="thin">
        <color theme="1"/>
      </bottom>
      <diagonal/>
    </border>
    <border>
      <left style="medium">
        <color theme="1"/>
      </left>
      <right style="thin">
        <color theme="1"/>
      </right>
      <top style="thin">
        <color theme="1"/>
      </top>
      <bottom style="medium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theme="1"/>
      </bottom>
      <diagonal/>
    </border>
    <border>
      <left style="thin">
        <color theme="1"/>
      </left>
      <right style="medium">
        <color theme="1"/>
      </right>
      <top style="thin">
        <color theme="1"/>
      </top>
      <bottom style="medium">
        <color theme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</borders>
  <cellStyleXfs count="3">
    <xf numFmtId="0" fontId="0" fillId="0" borderId="0"/>
    <xf numFmtId="43" fontId="3" fillId="0" borderId="0" applyFont="0" applyFill="0" applyBorder="0" applyAlignment="0" applyProtection="0"/>
    <xf numFmtId="0" fontId="1" fillId="0" borderId="0"/>
  </cellStyleXfs>
  <cellXfs count="178">
    <xf numFmtId="0" fontId="0" fillId="0" borderId="0" xfId="0"/>
    <xf numFmtId="0" fontId="1" fillId="0" borderId="0" xfId="0" applyFont="1"/>
    <xf numFmtId="0" fontId="2" fillId="0" borderId="0" xfId="0" applyFont="1"/>
    <xf numFmtId="0" fontId="5" fillId="0" borderId="0" xfId="0" applyFont="1" applyAlignment="1">
      <alignment vertical="center"/>
    </xf>
    <xf numFmtId="0" fontId="5" fillId="0" borderId="1" xfId="0" applyFont="1" applyBorder="1" applyAlignment="1">
      <alignment horizontal="center" vertical="center"/>
    </xf>
    <xf numFmtId="0" fontId="5" fillId="0" borderId="14" xfId="0" applyFont="1" applyBorder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6" fillId="3" borderId="22" xfId="0" applyFont="1" applyFill="1" applyBorder="1" applyAlignment="1">
      <alignment horizontal="center" vertical="center"/>
    </xf>
    <xf numFmtId="0" fontId="6" fillId="3" borderId="11" xfId="0" applyFont="1" applyFill="1" applyBorder="1" applyAlignment="1">
      <alignment horizontal="center" vertical="center"/>
    </xf>
    <xf numFmtId="0" fontId="7" fillId="0" borderId="0" xfId="0" applyFont="1" applyAlignment="1">
      <alignment vertical="center"/>
    </xf>
    <xf numFmtId="0" fontId="7" fillId="2" borderId="14" xfId="0" applyFont="1" applyFill="1" applyBorder="1" applyAlignment="1">
      <alignment horizontal="left" vertical="center"/>
    </xf>
    <xf numFmtId="0" fontId="7" fillId="2" borderId="0" xfId="0" applyFont="1" applyFill="1" applyAlignment="1">
      <alignment vertic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2" fontId="5" fillId="0" borderId="18" xfId="0" applyNumberFormat="1" applyFont="1" applyBorder="1" applyAlignment="1">
      <alignment vertical="center"/>
    </xf>
    <xf numFmtId="9" fontId="0" fillId="0" borderId="0" xfId="0" applyNumberFormat="1"/>
    <xf numFmtId="2" fontId="1" fillId="0" borderId="0" xfId="0" applyNumberFormat="1" applyFont="1"/>
    <xf numFmtId="2" fontId="0" fillId="0" borderId="0" xfId="0" applyNumberFormat="1"/>
    <xf numFmtId="2" fontId="0" fillId="0" borderId="0" xfId="0" applyNumberFormat="1" applyAlignment="1">
      <alignment horizontal="center"/>
    </xf>
    <xf numFmtId="0" fontId="7" fillId="0" borderId="0" xfId="0" applyFont="1" applyAlignment="1">
      <alignment horizontal="right" vertical="center"/>
    </xf>
    <xf numFmtId="2" fontId="5" fillId="0" borderId="19" xfId="0" applyNumberFormat="1" applyFont="1" applyBorder="1" applyAlignment="1">
      <alignment vertical="center"/>
    </xf>
    <xf numFmtId="2" fontId="7" fillId="2" borderId="19" xfId="0" applyNumberFormat="1" applyFont="1" applyFill="1" applyBorder="1" applyAlignment="1">
      <alignment vertical="center"/>
    </xf>
    <xf numFmtId="0" fontId="9" fillId="4" borderId="26" xfId="0" applyFont="1" applyFill="1" applyBorder="1" applyAlignment="1">
      <alignment horizontal="center" vertical="center"/>
    </xf>
    <xf numFmtId="2" fontId="0" fillId="5" borderId="24" xfId="0" applyNumberFormat="1" applyFill="1" applyBorder="1" applyAlignment="1">
      <alignment horizontal="center" vertical="center"/>
    </xf>
    <xf numFmtId="2" fontId="0" fillId="5" borderId="30" xfId="0" applyNumberFormat="1" applyFill="1" applyBorder="1" applyAlignment="1">
      <alignment horizontal="center" vertical="center"/>
    </xf>
    <xf numFmtId="2" fontId="0" fillId="0" borderId="32" xfId="0" applyNumberFormat="1" applyBorder="1" applyAlignment="1">
      <alignment horizontal="center" vertical="center"/>
    </xf>
    <xf numFmtId="2" fontId="0" fillId="0" borderId="30" xfId="0" applyNumberFormat="1" applyBorder="1" applyAlignment="1">
      <alignment horizontal="center" vertical="center"/>
    </xf>
    <xf numFmtId="0" fontId="9" fillId="4" borderId="34" xfId="0" applyFont="1" applyFill="1" applyBorder="1" applyAlignment="1">
      <alignment horizontal="center" vertical="center"/>
    </xf>
    <xf numFmtId="2" fontId="0" fillId="5" borderId="33" xfId="0" applyNumberFormat="1" applyFill="1" applyBorder="1" applyAlignment="1">
      <alignment horizontal="center" vertical="center"/>
    </xf>
    <xf numFmtId="0" fontId="9" fillId="4" borderId="35" xfId="0" applyFont="1" applyFill="1" applyBorder="1" applyAlignment="1">
      <alignment horizontal="center" vertical="center"/>
    </xf>
    <xf numFmtId="2" fontId="0" fillId="6" borderId="30" xfId="0" applyNumberFormat="1" applyFill="1" applyBorder="1" applyAlignment="1">
      <alignment horizontal="center" vertical="center"/>
    </xf>
    <xf numFmtId="43" fontId="5" fillId="0" borderId="18" xfId="1" applyFont="1" applyBorder="1" applyAlignment="1">
      <alignment vertical="center"/>
    </xf>
    <xf numFmtId="43" fontId="5" fillId="0" borderId="19" xfId="1" applyFont="1" applyBorder="1" applyAlignment="1">
      <alignment vertical="center"/>
    </xf>
    <xf numFmtId="43" fontId="7" fillId="2" borderId="19" xfId="1" applyFont="1" applyFill="1" applyBorder="1" applyAlignment="1">
      <alignment vertical="center"/>
    </xf>
    <xf numFmtId="0" fontId="5" fillId="0" borderId="32" xfId="0" applyFont="1" applyBorder="1" applyAlignment="1">
      <alignment vertical="center"/>
    </xf>
    <xf numFmtId="164" fontId="0" fillId="0" borderId="32" xfId="1" applyNumberFormat="1" applyFont="1" applyBorder="1" applyAlignment="1">
      <alignment horizontal="center" vertical="center"/>
    </xf>
    <xf numFmtId="0" fontId="5" fillId="0" borderId="32" xfId="0" applyFont="1" applyBorder="1" applyAlignment="1">
      <alignment horizontal="left" vertical="center"/>
    </xf>
    <xf numFmtId="0" fontId="0" fillId="0" borderId="32" xfId="0" quotePrefix="1" applyBorder="1"/>
    <xf numFmtId="2" fontId="5" fillId="0" borderId="32" xfId="0" applyNumberFormat="1" applyFont="1" applyBorder="1" applyAlignment="1">
      <alignment horizontal="left" vertical="center"/>
    </xf>
    <xf numFmtId="164" fontId="0" fillId="0" borderId="32" xfId="1" applyNumberFormat="1" applyFont="1" applyBorder="1" applyAlignment="1">
      <alignment horizontal="center"/>
    </xf>
    <xf numFmtId="0" fontId="0" fillId="0" borderId="32" xfId="0" applyBorder="1"/>
    <xf numFmtId="0" fontId="5" fillId="0" borderId="32" xfId="0" applyFont="1" applyBorder="1"/>
    <xf numFmtId="49" fontId="5" fillId="0" borderId="32" xfId="2" applyNumberFormat="1" applyFont="1" applyBorder="1" applyAlignment="1">
      <alignment horizontal="center"/>
    </xf>
    <xf numFmtId="49" fontId="0" fillId="0" borderId="32" xfId="0" applyNumberFormat="1" applyBorder="1" applyAlignment="1">
      <alignment horizontal="center" vertical="center"/>
    </xf>
    <xf numFmtId="0" fontId="0" fillId="0" borderId="32" xfId="0" applyBorder="1" applyAlignment="1">
      <alignment vertical="center"/>
    </xf>
    <xf numFmtId="49" fontId="5" fillId="0" borderId="32" xfId="2" applyNumberFormat="1" applyFont="1" applyBorder="1" applyAlignment="1">
      <alignment horizontal="left"/>
    </xf>
    <xf numFmtId="0" fontId="0" fillId="0" borderId="32" xfId="0" applyBorder="1" applyAlignment="1">
      <alignment horizontal="left"/>
    </xf>
    <xf numFmtId="0" fontId="0" fillId="0" borderId="32" xfId="0" applyBorder="1" applyAlignment="1">
      <alignment horizontal="left" vertical="center"/>
    </xf>
    <xf numFmtId="0" fontId="0" fillId="0" borderId="32" xfId="0" applyBorder="1" applyAlignment="1">
      <alignment horizontal="center" vertical="center"/>
    </xf>
    <xf numFmtId="0" fontId="0" fillId="7" borderId="32" xfId="0" applyFill="1" applyBorder="1" applyAlignment="1">
      <alignment vertical="center" wrapText="1"/>
    </xf>
    <xf numFmtId="0" fontId="0" fillId="0" borderId="32" xfId="0" quotePrefix="1" applyBorder="1" applyAlignment="1">
      <alignment horizontal="center" vertical="center"/>
    </xf>
    <xf numFmtId="164" fontId="5" fillId="0" borderId="32" xfId="1" applyNumberFormat="1" applyFont="1" applyBorder="1" applyAlignment="1">
      <alignment horizontal="center" vertical="center"/>
    </xf>
    <xf numFmtId="0" fontId="0" fillId="7" borderId="32" xfId="0" applyFill="1" applyBorder="1" applyAlignment="1">
      <alignment horizontal="left" vertical="center" wrapText="1"/>
    </xf>
    <xf numFmtId="49" fontId="5" fillId="0" borderId="32" xfId="2" applyNumberFormat="1" applyFont="1" applyBorder="1" applyAlignment="1">
      <alignment horizontal="center" vertical="center"/>
    </xf>
    <xf numFmtId="49" fontId="5" fillId="7" borderId="32" xfId="2" applyNumberFormat="1" applyFont="1" applyFill="1" applyBorder="1" applyAlignment="1">
      <alignment horizontal="left" vertical="center" wrapText="1"/>
    </xf>
    <xf numFmtId="0" fontId="0" fillId="0" borderId="32" xfId="0" quotePrefix="1" applyBorder="1" applyAlignment="1">
      <alignment horizontal="left" vertical="center"/>
    </xf>
    <xf numFmtId="0" fontId="5" fillId="0" borderId="32" xfId="2" applyFont="1" applyBorder="1" applyAlignment="1">
      <alignment horizontal="left" vertical="center"/>
    </xf>
    <xf numFmtId="0" fontId="0" fillId="0" borderId="0" xfId="0" applyAlignment="1">
      <alignment horizontal="left"/>
    </xf>
    <xf numFmtId="166" fontId="5" fillId="0" borderId="13" xfId="1" applyNumberFormat="1" applyFont="1" applyBorder="1" applyAlignment="1">
      <alignment vertical="center"/>
    </xf>
    <xf numFmtId="166" fontId="5" fillId="0" borderId="18" xfId="1" applyNumberFormat="1" applyFont="1" applyBorder="1" applyAlignment="1">
      <alignment vertical="center"/>
    </xf>
    <xf numFmtId="166" fontId="5" fillId="0" borderId="0" xfId="1" applyNumberFormat="1" applyFont="1" applyBorder="1" applyAlignment="1">
      <alignment vertical="center"/>
    </xf>
    <xf numFmtId="166" fontId="5" fillId="0" borderId="19" xfId="1" applyNumberFormat="1" applyFont="1" applyBorder="1" applyAlignment="1">
      <alignment vertical="center"/>
    </xf>
    <xf numFmtId="166" fontId="7" fillId="2" borderId="0" xfId="1" applyNumberFormat="1" applyFont="1" applyFill="1" applyBorder="1" applyAlignment="1">
      <alignment vertical="center"/>
    </xf>
    <xf numFmtId="166" fontId="7" fillId="2" borderId="19" xfId="1" applyNumberFormat="1" applyFont="1" applyFill="1" applyBorder="1" applyAlignment="1">
      <alignment vertical="center"/>
    </xf>
    <xf numFmtId="0" fontId="0" fillId="4" borderId="38" xfId="0" applyFill="1" applyBorder="1"/>
    <xf numFmtId="0" fontId="2" fillId="0" borderId="39" xfId="0" applyFont="1" applyBorder="1" applyAlignment="1">
      <alignment horizontal="center" vertical="center"/>
    </xf>
    <xf numFmtId="0" fontId="2" fillId="0" borderId="40" xfId="0" applyFont="1" applyBorder="1" applyAlignment="1">
      <alignment horizontal="center" vertical="center"/>
    </xf>
    <xf numFmtId="0" fontId="2" fillId="0" borderId="39" xfId="0" applyFont="1" applyBorder="1" applyAlignment="1">
      <alignment horizontal="center" vertical="center" wrapText="1"/>
    </xf>
    <xf numFmtId="0" fontId="2" fillId="0" borderId="41" xfId="0" applyFont="1" applyBorder="1" applyAlignment="1">
      <alignment horizontal="center" vertical="center" wrapText="1"/>
    </xf>
    <xf numFmtId="2" fontId="0" fillId="0" borderId="44" xfId="0" applyNumberFormat="1" applyBorder="1" applyAlignment="1">
      <alignment horizontal="center" vertical="center"/>
    </xf>
    <xf numFmtId="0" fontId="9" fillId="4" borderId="45" xfId="0" applyFont="1" applyFill="1" applyBorder="1" applyAlignment="1">
      <alignment horizontal="center" vertical="center"/>
    </xf>
    <xf numFmtId="2" fontId="0" fillId="6" borderId="47" xfId="0" applyNumberFormat="1" applyFill="1" applyBorder="1" applyAlignment="1">
      <alignment horizontal="center" vertical="center"/>
    </xf>
    <xf numFmtId="2" fontId="0" fillId="0" borderId="28" xfId="0" applyNumberFormat="1" applyBorder="1" applyAlignment="1">
      <alignment horizontal="center" vertical="center"/>
    </xf>
    <xf numFmtId="9" fontId="0" fillId="5" borderId="31" xfId="0" applyNumberFormat="1" applyFill="1" applyBorder="1" applyAlignment="1">
      <alignment horizontal="center" vertical="center"/>
    </xf>
    <xf numFmtId="9" fontId="0" fillId="0" borderId="31" xfId="0" applyNumberFormat="1" applyBorder="1" applyAlignment="1">
      <alignment horizontal="center" vertical="center"/>
    </xf>
    <xf numFmtId="9" fontId="0" fillId="0" borderId="48" xfId="0" applyNumberFormat="1" applyBorder="1" applyAlignment="1">
      <alignment horizontal="center" vertical="center"/>
    </xf>
    <xf numFmtId="0" fontId="2" fillId="0" borderId="49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50" xfId="0" applyFont="1" applyBorder="1" applyAlignment="1">
      <alignment horizontal="center" vertical="center"/>
    </xf>
    <xf numFmtId="0" fontId="2" fillId="0" borderId="51" xfId="0" applyFont="1" applyBorder="1" applyAlignment="1">
      <alignment horizontal="center" vertical="center"/>
    </xf>
    <xf numFmtId="2" fontId="0" fillId="0" borderId="11" xfId="0" applyNumberFormat="1" applyBorder="1" applyAlignment="1">
      <alignment horizontal="center" vertical="center"/>
    </xf>
    <xf numFmtId="2" fontId="0" fillId="0" borderId="55" xfId="0" applyNumberFormat="1" applyBorder="1" applyAlignment="1">
      <alignment horizontal="center" vertical="center"/>
    </xf>
    <xf numFmtId="2" fontId="0" fillId="0" borderId="57" xfId="0" applyNumberFormat="1" applyBorder="1" applyAlignment="1">
      <alignment horizontal="center" vertical="center"/>
    </xf>
    <xf numFmtId="2" fontId="0" fillId="0" borderId="58" xfId="0" applyNumberFormat="1" applyBorder="1" applyAlignment="1">
      <alignment horizontal="center" vertical="center"/>
    </xf>
    <xf numFmtId="2" fontId="0" fillId="0" borderId="54" xfId="0" applyNumberFormat="1" applyBorder="1" applyAlignment="1">
      <alignment horizontal="center" vertical="center"/>
    </xf>
    <xf numFmtId="2" fontId="0" fillId="0" borderId="56" xfId="0" applyNumberFormat="1" applyBorder="1" applyAlignment="1">
      <alignment horizontal="center" vertical="center"/>
    </xf>
    <xf numFmtId="2" fontId="0" fillId="0" borderId="59" xfId="0" applyNumberFormat="1" applyBorder="1" applyAlignment="1">
      <alignment horizontal="center" vertical="center"/>
    </xf>
    <xf numFmtId="10" fontId="5" fillId="0" borderId="19" xfId="0" applyNumberFormat="1" applyFont="1" applyBorder="1" applyAlignment="1">
      <alignment vertical="center"/>
    </xf>
    <xf numFmtId="166" fontId="7" fillId="0" borderId="0" xfId="0" applyNumberFormat="1" applyFont="1" applyAlignment="1">
      <alignment vertical="center"/>
    </xf>
    <xf numFmtId="165" fontId="5" fillId="0" borderId="0" xfId="0" applyNumberFormat="1" applyFont="1" applyAlignment="1">
      <alignment vertical="center"/>
    </xf>
    <xf numFmtId="166" fontId="5" fillId="0" borderId="0" xfId="0" applyNumberFormat="1" applyFont="1" applyAlignment="1">
      <alignment vertical="center"/>
    </xf>
    <xf numFmtId="0" fontId="10" fillId="7" borderId="32" xfId="0" applyFont="1" applyFill="1" applyBorder="1" applyAlignment="1">
      <alignment horizontal="center" vertical="center" wrapText="1"/>
    </xf>
    <xf numFmtId="0" fontId="10" fillId="7" borderId="32" xfId="0" applyFont="1" applyFill="1" applyBorder="1" applyAlignment="1">
      <alignment horizontal="left" vertical="center" wrapText="1"/>
    </xf>
    <xf numFmtId="0" fontId="10" fillId="7" borderId="32" xfId="0" applyFont="1" applyFill="1" applyBorder="1" applyAlignment="1">
      <alignment horizontal="center" vertical="center"/>
    </xf>
    <xf numFmtId="0" fontId="7" fillId="7" borderId="32" xfId="0" applyFont="1" applyFill="1" applyBorder="1" applyAlignment="1">
      <alignment horizontal="center" vertical="center"/>
    </xf>
    <xf numFmtId="49" fontId="5" fillId="7" borderId="32" xfId="2" applyNumberFormat="1" applyFont="1" applyFill="1" applyBorder="1" applyAlignment="1">
      <alignment horizontal="left" vertical="center"/>
    </xf>
    <xf numFmtId="0" fontId="0" fillId="0" borderId="32" xfId="0" applyBorder="1" applyAlignment="1">
      <alignment vertical="center" wrapText="1"/>
    </xf>
    <xf numFmtId="0" fontId="10" fillId="0" borderId="32" xfId="0" applyFont="1" applyBorder="1" applyAlignment="1">
      <alignment vertical="center" wrapText="1"/>
    </xf>
    <xf numFmtId="0" fontId="0" fillId="0" borderId="32" xfId="0" applyBorder="1" applyAlignment="1">
      <alignment horizontal="center" vertical="center" wrapText="1"/>
    </xf>
    <xf numFmtId="49" fontId="5" fillId="7" borderId="32" xfId="2" applyNumberFormat="1" applyFont="1" applyFill="1" applyBorder="1" applyAlignment="1">
      <alignment vertical="center" wrapText="1"/>
    </xf>
    <xf numFmtId="49" fontId="5" fillId="0" borderId="32" xfId="2" applyNumberFormat="1" applyFont="1" applyBorder="1" applyAlignment="1">
      <alignment horizontal="center" vertical="center" wrapText="1"/>
    </xf>
    <xf numFmtId="0" fontId="5" fillId="0" borderId="32" xfId="2" applyFont="1" applyBorder="1" applyAlignment="1">
      <alignment horizontal="left" vertical="center" wrapText="1"/>
    </xf>
    <xf numFmtId="0" fontId="0" fillId="0" borderId="32" xfId="0" applyBorder="1" applyAlignment="1">
      <alignment wrapText="1"/>
    </xf>
    <xf numFmtId="0" fontId="0" fillId="0" borderId="32" xfId="0" applyBorder="1" applyAlignment="1">
      <alignment horizontal="left" vertical="center" wrapText="1"/>
    </xf>
    <xf numFmtId="0" fontId="0" fillId="0" borderId="32" xfId="0" quotePrefix="1" applyBorder="1" applyAlignment="1">
      <alignment horizontal="center" vertical="center" wrapText="1"/>
    </xf>
    <xf numFmtId="0" fontId="0" fillId="0" borderId="32" xfId="0" quotePrefix="1" applyBorder="1" applyAlignment="1">
      <alignment horizontal="left" vertical="center" wrapText="1"/>
    </xf>
    <xf numFmtId="0" fontId="1" fillId="0" borderId="0" xfId="0" applyFont="1" applyAlignment="1">
      <alignment horizontal="left"/>
    </xf>
    <xf numFmtId="0" fontId="11" fillId="7" borderId="16" xfId="0" applyFont="1" applyFill="1" applyBorder="1" applyAlignment="1">
      <alignment horizontal="left" vertical="center"/>
    </xf>
    <xf numFmtId="0" fontId="11" fillId="7" borderId="17" xfId="0" applyFont="1" applyFill="1" applyBorder="1" applyAlignment="1">
      <alignment vertical="center"/>
    </xf>
    <xf numFmtId="43" fontId="11" fillId="7" borderId="20" xfId="1" applyFont="1" applyFill="1" applyBorder="1" applyAlignment="1">
      <alignment vertical="center"/>
    </xf>
    <xf numFmtId="2" fontId="11" fillId="7" borderId="20" xfId="0" applyNumberFormat="1" applyFont="1" applyFill="1" applyBorder="1" applyAlignment="1">
      <alignment vertical="center"/>
    </xf>
    <xf numFmtId="166" fontId="11" fillId="7" borderId="17" xfId="1" applyNumberFormat="1" applyFont="1" applyFill="1" applyBorder="1" applyAlignment="1">
      <alignment vertical="center"/>
    </xf>
    <xf numFmtId="166" fontId="11" fillId="7" borderId="20" xfId="1" applyNumberFormat="1" applyFont="1" applyFill="1" applyBorder="1" applyAlignment="1">
      <alignment vertical="center"/>
    </xf>
    <xf numFmtId="0" fontId="0" fillId="0" borderId="0" xfId="0" applyAlignment="1">
      <alignment horizontal="right"/>
    </xf>
    <xf numFmtId="0" fontId="5" fillId="0" borderId="0" xfId="0" applyFont="1" applyAlignment="1">
      <alignment horizontal="center" vertical="center"/>
    </xf>
    <xf numFmtId="0" fontId="8" fillId="0" borderId="0" xfId="0" applyFont="1" applyAlignment="1">
      <alignment horizontal="left" vertical="center"/>
    </xf>
    <xf numFmtId="0" fontId="12" fillId="8" borderId="60" xfId="0" applyFont="1" applyFill="1" applyBorder="1"/>
    <xf numFmtId="0" fontId="13" fillId="0" borderId="0" xfId="0" applyFont="1" applyAlignment="1">
      <alignment vertical="center"/>
    </xf>
    <xf numFmtId="0" fontId="14" fillId="0" borderId="0" xfId="0" applyFont="1" applyAlignment="1">
      <alignment vertical="center"/>
    </xf>
    <xf numFmtId="0" fontId="5" fillId="9" borderId="6" xfId="0" applyFont="1" applyFill="1" applyBorder="1" applyAlignment="1">
      <alignment vertical="center"/>
    </xf>
    <xf numFmtId="0" fontId="5" fillId="9" borderId="7" xfId="0" applyFont="1" applyFill="1" applyBorder="1" applyAlignment="1">
      <alignment vertical="center"/>
    </xf>
    <xf numFmtId="0" fontId="5" fillId="9" borderId="8" xfId="0" applyFont="1" applyFill="1" applyBorder="1" applyAlignment="1">
      <alignment vertical="center"/>
    </xf>
    <xf numFmtId="0" fontId="5" fillId="9" borderId="9" xfId="0" applyFont="1" applyFill="1" applyBorder="1" applyAlignment="1">
      <alignment vertical="center"/>
    </xf>
    <xf numFmtId="0" fontId="5" fillId="9" borderId="10" xfId="0" applyFont="1" applyFill="1" applyBorder="1" applyAlignment="1">
      <alignment vertical="center"/>
    </xf>
    <xf numFmtId="0" fontId="5" fillId="9" borderId="3" xfId="0" applyFont="1" applyFill="1" applyBorder="1" applyAlignment="1">
      <alignment vertical="center"/>
    </xf>
    <xf numFmtId="0" fontId="5" fillId="9" borderId="4" xfId="0" applyFont="1" applyFill="1" applyBorder="1" applyAlignment="1">
      <alignment vertical="center"/>
    </xf>
    <xf numFmtId="0" fontId="5" fillId="9" borderId="5" xfId="0" applyFont="1" applyFill="1" applyBorder="1" applyAlignment="1">
      <alignment vertical="center"/>
    </xf>
    <xf numFmtId="0" fontId="5" fillId="0" borderId="1" xfId="0" applyFont="1" applyBorder="1" applyAlignment="1" applyProtection="1">
      <alignment horizontal="center" vertical="center"/>
      <protection locked="0"/>
    </xf>
    <xf numFmtId="0" fontId="5" fillId="2" borderId="2" xfId="0" applyFont="1" applyFill="1" applyBorder="1" applyAlignment="1" applyProtection="1">
      <alignment horizontal="center" vertical="center"/>
      <protection locked="0"/>
    </xf>
    <xf numFmtId="9" fontId="5" fillId="0" borderId="1" xfId="0" applyNumberFormat="1" applyFont="1" applyBorder="1" applyAlignment="1" applyProtection="1">
      <alignment horizontal="center" vertical="center"/>
      <protection locked="0"/>
    </xf>
    <xf numFmtId="166" fontId="5" fillId="2" borderId="2" xfId="0" applyNumberFormat="1" applyFont="1" applyFill="1" applyBorder="1" applyAlignment="1" applyProtection="1">
      <alignment horizontal="center" vertical="center"/>
      <protection locked="0"/>
    </xf>
    <xf numFmtId="166" fontId="7" fillId="0" borderId="11" xfId="0" applyNumberFormat="1" applyFont="1" applyBorder="1" applyAlignment="1">
      <alignment vertical="center"/>
    </xf>
    <xf numFmtId="0" fontId="6" fillId="10" borderId="22" xfId="0" applyFont="1" applyFill="1" applyBorder="1" applyAlignment="1">
      <alignment horizontal="center" vertical="center"/>
    </xf>
    <xf numFmtId="0" fontId="6" fillId="10" borderId="11" xfId="0" applyFont="1" applyFill="1" applyBorder="1" applyAlignment="1">
      <alignment horizontal="center" vertical="center"/>
    </xf>
    <xf numFmtId="0" fontId="5" fillId="9" borderId="6" xfId="0" applyFont="1" applyFill="1" applyBorder="1" applyAlignment="1">
      <alignment horizontal="right" vertical="center"/>
    </xf>
    <xf numFmtId="0" fontId="5" fillId="9" borderId="0" xfId="0" applyFont="1" applyFill="1" applyAlignment="1">
      <alignment vertical="center"/>
    </xf>
    <xf numFmtId="0" fontId="5" fillId="9" borderId="0" xfId="0" applyFont="1" applyFill="1" applyAlignment="1">
      <alignment horizontal="righ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5" fillId="9" borderId="0" xfId="0" applyFont="1" applyFill="1" applyAlignment="1" applyProtection="1">
      <alignment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5" fillId="9" borderId="7" xfId="0" applyFont="1" applyFill="1" applyBorder="1" applyAlignment="1" applyProtection="1">
      <alignment vertical="center"/>
      <protection locked="0"/>
    </xf>
    <xf numFmtId="0" fontId="5" fillId="9" borderId="0" xfId="0" applyFont="1" applyFill="1" applyAlignment="1">
      <alignment horizontal="right" vertical="center"/>
    </xf>
    <xf numFmtId="0" fontId="5" fillId="0" borderId="64" xfId="0" applyFont="1" applyBorder="1" applyAlignment="1" applyProtection="1">
      <alignment horizontal="left" vertical="center"/>
      <protection locked="0"/>
    </xf>
    <xf numFmtId="0" fontId="5" fillId="0" borderId="1" xfId="0" applyFont="1" applyBorder="1" applyAlignment="1" applyProtection="1">
      <alignment horizontal="left" vertical="center"/>
      <protection locked="0"/>
    </xf>
    <xf numFmtId="0" fontId="5" fillId="0" borderId="61" xfId="0" applyFont="1" applyBorder="1" applyAlignment="1" applyProtection="1">
      <alignment horizontal="center" vertical="center"/>
      <protection locked="0"/>
    </xf>
    <xf numFmtId="0" fontId="5" fillId="0" borderId="63" xfId="0" applyFont="1" applyBorder="1" applyAlignment="1" applyProtection="1">
      <alignment horizontal="center" vertical="center"/>
      <protection locked="0"/>
    </xf>
    <xf numFmtId="0" fontId="5" fillId="0" borderId="61" xfId="0" applyFont="1" applyBorder="1" applyAlignment="1" applyProtection="1">
      <alignment horizontal="left" vertical="center"/>
      <protection locked="0"/>
    </xf>
    <xf numFmtId="0" fontId="5" fillId="0" borderId="62" xfId="0" applyFont="1" applyBorder="1" applyAlignment="1" applyProtection="1">
      <alignment horizontal="left" vertical="center"/>
      <protection locked="0"/>
    </xf>
    <xf numFmtId="0" fontId="5" fillId="0" borderId="63" xfId="0" applyFont="1" applyBorder="1" applyAlignment="1" applyProtection="1">
      <alignment horizontal="left" vertical="center"/>
      <protection locked="0"/>
    </xf>
    <xf numFmtId="0" fontId="5" fillId="0" borderId="14" xfId="0" applyFont="1" applyBorder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5" fillId="0" borderId="15" xfId="0" applyFont="1" applyBorder="1" applyAlignment="1">
      <alignment horizontal="left" vertical="center"/>
    </xf>
    <xf numFmtId="0" fontId="5" fillId="0" borderId="12" xfId="0" applyFont="1" applyBorder="1" applyAlignment="1">
      <alignment horizontal="left" vertical="center"/>
    </xf>
    <xf numFmtId="0" fontId="5" fillId="0" borderId="13" xfId="0" applyFont="1" applyBorder="1" applyAlignment="1">
      <alignment horizontal="left" vertical="center"/>
    </xf>
    <xf numFmtId="0" fontId="4" fillId="3" borderId="21" xfId="0" applyFont="1" applyFill="1" applyBorder="1" applyAlignment="1">
      <alignment horizontal="center" vertical="center"/>
    </xf>
    <xf numFmtId="0" fontId="4" fillId="3" borderId="22" xfId="0" applyFont="1" applyFill="1" applyBorder="1" applyAlignment="1">
      <alignment horizontal="center" vertical="center"/>
    </xf>
    <xf numFmtId="0" fontId="4" fillId="3" borderId="23" xfId="0" applyFont="1" applyFill="1" applyBorder="1" applyAlignment="1">
      <alignment horizontal="center" vertical="center"/>
    </xf>
    <xf numFmtId="0" fontId="6" fillId="3" borderId="21" xfId="0" applyFont="1" applyFill="1" applyBorder="1" applyAlignment="1">
      <alignment horizontal="center" vertical="center"/>
    </xf>
    <xf numFmtId="0" fontId="6" fillId="3" borderId="22" xfId="0" applyFont="1" applyFill="1" applyBorder="1" applyAlignment="1">
      <alignment horizontal="center" vertical="center"/>
    </xf>
    <xf numFmtId="0" fontId="6" fillId="3" borderId="23" xfId="0" applyFont="1" applyFill="1" applyBorder="1" applyAlignment="1">
      <alignment horizontal="center" vertical="center"/>
    </xf>
    <xf numFmtId="0" fontId="0" fillId="0" borderId="32" xfId="0" applyBorder="1" applyAlignment="1">
      <alignment horizontal="center" vertical="center" wrapText="1"/>
    </xf>
    <xf numFmtId="0" fontId="9" fillId="0" borderId="36" xfId="0" applyFont="1" applyBorder="1" applyAlignment="1">
      <alignment horizontal="center" vertical="center"/>
    </xf>
    <xf numFmtId="0" fontId="9" fillId="0" borderId="42" xfId="0" applyFont="1" applyBorder="1" applyAlignment="1">
      <alignment horizontal="center" vertical="center"/>
    </xf>
    <xf numFmtId="0" fontId="9" fillId="0" borderId="43" xfId="0" applyFont="1" applyBorder="1" applyAlignment="1">
      <alignment horizontal="center" vertical="center"/>
    </xf>
    <xf numFmtId="0" fontId="0" fillId="0" borderId="37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33" xfId="0" applyBorder="1" applyAlignment="1">
      <alignment horizontal="center"/>
    </xf>
    <xf numFmtId="2" fontId="0" fillId="0" borderId="24" xfId="0" applyNumberFormat="1" applyBorder="1" applyAlignment="1">
      <alignment horizontal="center" vertical="center"/>
    </xf>
    <xf numFmtId="2" fontId="0" fillId="0" borderId="25" xfId="0" applyNumberFormat="1" applyBorder="1" applyAlignment="1">
      <alignment horizontal="center" vertical="center"/>
    </xf>
    <xf numFmtId="2" fontId="0" fillId="0" borderId="44" xfId="0" applyNumberFormat="1" applyBorder="1" applyAlignment="1">
      <alignment horizontal="center" vertical="center"/>
    </xf>
    <xf numFmtId="2" fontId="0" fillId="0" borderId="27" xfId="0" applyNumberFormat="1" applyBorder="1" applyAlignment="1">
      <alignment horizontal="center" vertical="center"/>
    </xf>
    <xf numFmtId="2" fontId="0" fillId="0" borderId="29" xfId="0" applyNumberFormat="1" applyBorder="1" applyAlignment="1">
      <alignment horizontal="center" vertical="center"/>
    </xf>
    <xf numFmtId="2" fontId="0" fillId="0" borderId="46" xfId="0" applyNumberFormat="1" applyBorder="1" applyAlignment="1">
      <alignment horizontal="center" vertical="center"/>
    </xf>
    <xf numFmtId="2" fontId="0" fillId="0" borderId="52" xfId="0" applyNumberFormat="1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168" fontId="0" fillId="0" borderId="0" xfId="0" applyNumberFormat="1"/>
    <xf numFmtId="165" fontId="5" fillId="0" borderId="0" xfId="0" applyNumberFormat="1" applyFont="1" applyAlignment="1">
      <alignment horizontal="center" vertical="center"/>
    </xf>
    <xf numFmtId="166" fontId="5" fillId="0" borderId="0" xfId="0" applyNumberFormat="1" applyFont="1" applyAlignment="1">
      <alignment horizontal="center" vertical="center"/>
    </xf>
    <xf numFmtId="0" fontId="8" fillId="0" borderId="0" xfId="0" applyFont="1" applyAlignment="1">
      <alignment horizontal="center" vertical="center"/>
    </xf>
  </cellXfs>
  <cellStyles count="3">
    <cellStyle name="Milliers" xfId="1" builtinId="3"/>
    <cellStyle name="Normal" xfId="0" builtinId="0"/>
    <cellStyle name="Normal 2" xfId="2" xr:uid="{E4B1965C-BEB3-49AA-85F6-3B15AA3C2BA9}"/>
  </cellStyles>
  <dxfs count="43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22/11/relationships/FeaturePropertyBag" Target="featurePropertyBag/featurePropertyBag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276225</xdr:colOff>
          <xdr:row>0</xdr:row>
          <xdr:rowOff>390525</xdr:rowOff>
        </xdr:from>
        <xdr:to>
          <xdr:col>11</xdr:col>
          <xdr:colOff>514350</xdr:colOff>
          <xdr:row>2</xdr:row>
          <xdr:rowOff>152400</xdr:rowOff>
        </xdr:to>
        <xdr:sp macro="" textlink="">
          <xdr:nvSpPr>
            <xdr:cNvPr id="1036" name="RESET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2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8</xdr:col>
      <xdr:colOff>114300</xdr:colOff>
      <xdr:row>21</xdr:row>
      <xdr:rowOff>19051</xdr:rowOff>
    </xdr:from>
    <xdr:to>
      <xdr:col>12</xdr:col>
      <xdr:colOff>19050</xdr:colOff>
      <xdr:row>29</xdr:row>
      <xdr:rowOff>133351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EFAAAD-6A27-DD4F-C488-E80F09F330B7}"/>
            </a:ext>
          </a:extLst>
        </xdr:cNvPr>
        <xdr:cNvSpPr txBox="1"/>
      </xdr:nvSpPr>
      <xdr:spPr>
        <a:xfrm>
          <a:off x="5991225" y="4800601"/>
          <a:ext cx="2247900" cy="1866900"/>
        </a:xfrm>
        <a:prstGeom prst="rect">
          <a:avLst/>
        </a:prstGeom>
        <a:solidFill>
          <a:srgbClr val="FFFFCC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 b="1" u="sng">
              <a:latin typeface="Arial Narrow" panose="020B0606020202030204" pitchFamily="34" charset="0"/>
            </a:rPr>
            <a:t>Avertissement :</a:t>
          </a:r>
          <a:br>
            <a:rPr lang="fr-FR" sz="1100" b="1" u="sng">
              <a:latin typeface="Arial Narrow" panose="020B0606020202030204" pitchFamily="34" charset="0"/>
            </a:rPr>
          </a:br>
          <a:endParaRPr lang="fr-FR" sz="1100" b="1" u="sng">
            <a:latin typeface="Arial Narrow" panose="020B0606020202030204" pitchFamily="34" charset="0"/>
          </a:endParaRPr>
        </a:p>
        <a:p>
          <a:r>
            <a:rPr lang="fr-FR" sz="1100">
              <a:latin typeface="Arial Narrow" panose="020B0606020202030204" pitchFamily="34" charset="0"/>
            </a:rPr>
            <a:t>Ce calcul ne constitue qu'une simulation de bulletin de salaire destinée à  donner une estimation des montants bruts, net et cumulés.</a:t>
          </a:r>
          <a:br>
            <a:rPr lang="fr-FR" sz="1100">
              <a:latin typeface="Arial Narrow" panose="020B0606020202030204" pitchFamily="34" charset="0"/>
            </a:rPr>
          </a:br>
          <a:endParaRPr lang="fr-FR" sz="1100">
            <a:latin typeface="Arial Narrow" panose="020B0606020202030204" pitchFamily="34" charset="0"/>
          </a:endParaRPr>
        </a:p>
        <a:p>
          <a:r>
            <a:rPr lang="fr-FR" sz="1100">
              <a:latin typeface="Arial Narrow" panose="020B0606020202030204" pitchFamily="34" charset="0"/>
            </a:rPr>
            <a:t>L’utilisateur de cet outil de simulation reste pleinement responsable du résultat obtenu.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114300</xdr:colOff>
      <xdr:row>21</xdr:row>
      <xdr:rowOff>19051</xdr:rowOff>
    </xdr:from>
    <xdr:to>
      <xdr:col>12</xdr:col>
      <xdr:colOff>19050</xdr:colOff>
      <xdr:row>29</xdr:row>
      <xdr:rowOff>133351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EF03B40A-BC1E-4B3D-A7F6-7E9472A2BD3A}"/>
            </a:ext>
          </a:extLst>
        </xdr:cNvPr>
        <xdr:cNvSpPr txBox="1"/>
      </xdr:nvSpPr>
      <xdr:spPr>
        <a:xfrm>
          <a:off x="5781675" y="4114801"/>
          <a:ext cx="2314575" cy="1866900"/>
        </a:xfrm>
        <a:prstGeom prst="rect">
          <a:avLst/>
        </a:prstGeom>
        <a:solidFill>
          <a:srgbClr val="FFFFCC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 b="1" u="sng">
              <a:latin typeface="Arial Narrow" panose="020B0606020202030204" pitchFamily="34" charset="0"/>
            </a:rPr>
            <a:t>Avertissement :</a:t>
          </a:r>
          <a:br>
            <a:rPr lang="fr-FR" sz="1100" b="1" u="sng">
              <a:latin typeface="Arial Narrow" panose="020B0606020202030204" pitchFamily="34" charset="0"/>
            </a:rPr>
          </a:br>
          <a:endParaRPr lang="fr-FR" sz="1100" b="1" u="sng">
            <a:latin typeface="Arial Narrow" panose="020B0606020202030204" pitchFamily="34" charset="0"/>
          </a:endParaRPr>
        </a:p>
        <a:p>
          <a:r>
            <a:rPr lang="fr-FR" sz="1100">
              <a:latin typeface="Arial Narrow" panose="020B0606020202030204" pitchFamily="34" charset="0"/>
            </a:rPr>
            <a:t>Ce calcul ne constitue qu'une simulation de bulletin de salaire destinée à  donner une estimation des montants bruts, net et cumulés.</a:t>
          </a:r>
          <a:br>
            <a:rPr lang="fr-FR" sz="1100">
              <a:latin typeface="Arial Narrow" panose="020B0606020202030204" pitchFamily="34" charset="0"/>
            </a:rPr>
          </a:br>
          <a:endParaRPr lang="fr-FR" sz="1100">
            <a:latin typeface="Arial Narrow" panose="020B0606020202030204" pitchFamily="34" charset="0"/>
          </a:endParaRPr>
        </a:p>
        <a:p>
          <a:r>
            <a:rPr lang="fr-FR" sz="1100">
              <a:latin typeface="Arial Narrow" panose="020B0606020202030204" pitchFamily="34" charset="0"/>
            </a:rPr>
            <a:t>L’utilisateur de cet outil de simulation reste pleinement responsable du résultat obtenu.</a:t>
          </a:r>
        </a:p>
      </xdr:txBody>
    </xdr:sp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9E13ACD-8DA0-4117-B999-AEF906DA5A87}" name="Filière" displayName="Filière" ref="L6:L13" totalsRowShown="0" headerRowDxfId="42">
  <autoFilter ref="L6:L13" xr:uid="{29E13ACD-8DA0-4117-B999-AEF906DA5A87}"/>
  <tableColumns count="1">
    <tableColumn id="1" xr3:uid="{65792BDD-1240-4C28-A094-6AB8118F8BE3}" name="Filièr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7F061D2-4C80-4B2C-A2B2-896F25B104AB}" name="Administrative" displayName="Administrative" ref="L16:L20" totalsRowShown="0" headerRowDxfId="41" dataDxfId="40">
  <autoFilter ref="L16:L20" xr:uid="{C7F061D2-4C80-4B2C-A2B2-896F25B104AB}"/>
  <tableColumns count="1">
    <tableColumn id="1" xr3:uid="{10C55AAC-89B3-4F93-BC54-629601AEB591}" name="Administrative" dataDxfId="3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A864DD5-047C-483E-90EC-CF4D6AD287B0}" name="Attachés_territoriaux" displayName="Attachés_territoriaux" ref="L23:L27" totalsRowShown="0" headerRowDxfId="38">
  <autoFilter ref="L23:L27" xr:uid="{7A864DD5-047C-483E-90EC-CF4D6AD287B0}"/>
  <tableColumns count="1">
    <tableColumn id="1" xr3:uid="{2514179F-797D-4C56-9E78-36F0C7293550}" name="Attaché territoriaux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827E231-B3E7-47CF-89E4-CC0DB9A483BD}" name="Rédacteurs_territoriaux" displayName="Rédacteurs_territoriaux" ref="M23:M27" totalsRowShown="0" headerRowDxfId="37">
  <autoFilter ref="M23:M27" xr:uid="{2827E231-B3E7-47CF-89E4-CC0DB9A483BD}"/>
  <tableColumns count="1">
    <tableColumn id="1" xr3:uid="{43C6D7D4-4416-4C72-B067-2A4E23FF1E47}" name="Rédacteurs territoriaux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FDD8796-43A1-43C4-908B-136F1D49BE5F}" name="Statut" displayName="Statut" ref="L1:L4" totalsRowShown="0">
  <autoFilter ref="L1:L4" xr:uid="{DFDD8796-43A1-43C4-908B-136F1D49BE5F}"/>
  <tableColumns count="1">
    <tableColumn id="1" xr3:uid="{75C40FAE-778B-4C57-8497-26F1DF480135}" name="Statu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3BCD050-466E-495C-B002-43763DEFA3FC}" name="Echelons" displayName="Echelons" ref="N1:N21" totalsRowShown="0" headerRowDxfId="36" dataDxfId="35">
  <autoFilter ref="N1:N21" xr:uid="{93BCD050-466E-495C-B002-43763DEFA3FC}"/>
  <tableColumns count="1">
    <tableColumn id="1" xr3:uid="{B5ACA713-5D23-4996-AB42-9FB4C8F9D43B}" name="Echelons" dataDxfId="34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3F01064-374D-4000-B432-3EA35750AE64}" name="Adjoints_administratifs" displayName="Adjoints_administratifs" ref="N23:N27" totalsRowShown="0" headerRowDxfId="33" dataDxfId="32">
  <autoFilter ref="N23:N27" xr:uid="{43F01064-374D-4000-B432-3EA35750AE64}"/>
  <tableColumns count="1">
    <tableColumn id="1" xr3:uid="{AC4A6E0B-CA0C-413A-BB2F-FAFDE202CFCF}" name="Adjoints administratifs" dataDxfId="31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7C84E43C-D3EE-4FD4-B6CA-A1A75361EBAA}" name="Temps_partiel" displayName="Temps_partiel" ref="P1:P7" totalsRowShown="0" headerRowDxfId="30">
  <autoFilter ref="P1:P7" xr:uid="{7C84E43C-D3EE-4FD4-B6CA-A1A75361EBAA}"/>
  <tableColumns count="1">
    <tableColumn id="1" xr3:uid="{502B7797-4664-41F3-8DFD-F085A5993B79}" name="Temps partiel" dataDxfId="29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CE025479-8D0D-42E2-9C85-616B85C05C95}" name="TPP" displayName="TPP" ref="P10:P14" totalsRowShown="0" headerRowDxfId="28" dataDxfId="27">
  <autoFilter ref="P10:P14" xr:uid="{CE025479-8D0D-42E2-9C85-616B85C05C95}"/>
  <tableColumns count="1">
    <tableColumn id="1" xr3:uid="{85040F9D-81FE-452C-90ED-5CEA533D4A7A}" name="TPP" dataDxfId="2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26CED17D-00BE-4D9E-B8F0-A2C486152396}" name="Technique" displayName="Technique" ref="L30:L35" totalsRowShown="0" headerRowDxfId="25">
  <autoFilter ref="L30:L35" xr:uid="{26CED17D-00BE-4D9E-B8F0-A2C486152396}"/>
  <tableColumns count="1">
    <tableColumn id="1" xr3:uid="{06B34A5E-7BB7-4008-ADE4-445EF0569E61}" name="Techniqu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F75AB12D-B529-4CE8-8A23-9891111A0B97}" name="Ingénieurs_territoriaux" displayName="Ingénieurs_territoriaux" ref="L37:L41" totalsRowShown="0" headerRowDxfId="24">
  <autoFilter ref="L37:L41" xr:uid="{F75AB12D-B529-4CE8-8A23-9891111A0B97}"/>
  <tableColumns count="1">
    <tableColumn id="1" xr3:uid="{FEAAB7AC-CC63-4CF4-B2C1-E2DF211625EC}" name="Ingénieurs territoriaux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88B4258-7953-46D4-8489-8AB1F886648B}" name="Techniciens_territoriaux" displayName="Techniciens_territoriaux" ref="M37:M41" totalsRowShown="0" headerRowDxfId="23">
  <autoFilter ref="M37:M41" xr:uid="{488B4258-7953-46D4-8489-8AB1F886648B}"/>
  <tableColumns count="1">
    <tableColumn id="1" xr3:uid="{0A44EB77-BE3E-4FEB-BE5C-BF95605B1E48}" name="Techniciens territoriaux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2B930C7-8CD6-4AEA-BAD3-E8995D188EB0}" name="Adjoints_techniques" displayName="Adjoints_techniques" ref="O37:O41" totalsRowShown="0" headerRowDxfId="22">
  <autoFilter ref="O37:O41" xr:uid="{02B930C7-8CD6-4AEA-BAD3-E8995D188EB0}"/>
  <tableColumns count="1">
    <tableColumn id="1" xr3:uid="{8EC98775-8045-42E2-A093-9216AE59CF71}" name="Adjoints techniques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5C456EC7-BF62-4763-98D1-2FA32B9C6BB8}" name="Segur" displayName="Segur" ref="S10:S12" totalsRowShown="0" headerRowDxfId="21">
  <autoFilter ref="S10:S12" xr:uid="{5C456EC7-BF62-4763-98D1-2FA32B9C6BB8}"/>
  <tableColumns count="1">
    <tableColumn id="1" xr3:uid="{394B2161-8209-4F56-AE7C-B4DE86BA37A2}" name="Segur">
      <calculatedColumnFormula>49*Simulation!L22</calculatedColumnFormula>
    </tableColumn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289A6594-00F7-4848-99BE-AA4ECFB41065}" name="PFA" displayName="PFA" ref="S6:S8" totalsRowShown="0" headerRowDxfId="20">
  <autoFilter ref="S6:S8" xr:uid="{289A6594-00F7-4848-99BE-AA4ECFB41065}"/>
  <tableColumns count="1">
    <tableColumn id="1" xr3:uid="{710A9461-EFA6-44FD-A2DA-8BB86EB2D281}" name="PFA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14C063B8-187F-4EC2-8873-2540FC5BBF13}" name="PGA" displayName="PGA" ref="S14:S16" totalsRowShown="0" headerRowDxfId="19">
  <autoFilter ref="S14:S16" xr:uid="{14C063B8-187F-4EC2-8873-2540FC5BBF13}"/>
  <tableColumns count="1">
    <tableColumn id="1" xr3:uid="{301E6CCC-B60C-430D-82E0-E4390146C213}" name="PGA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DD70B44F-FB51-461D-854F-1FABCCAE67EB}" name="Animation" displayName="Animation" ref="L44:L47" totalsRowShown="0" headerRowDxfId="18">
  <autoFilter ref="L44:L47" xr:uid="{DD70B44F-FB51-461D-854F-1FABCCAE67EB}"/>
  <tableColumns count="1">
    <tableColumn id="1" xr3:uid="{4E840904-D424-4EE1-B9BE-901E325F9986}" name="Animation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37EA5617-1024-46DE-AC37-C85585BBE6C7}" name="Animateurs_territoriaux" displayName="Animateurs_territoriaux" ref="L50:L54" totalsRowShown="0" headerRowDxfId="17">
  <autoFilter ref="L50:L54" xr:uid="{37EA5617-1024-46DE-AC37-C85585BBE6C7}"/>
  <tableColumns count="1">
    <tableColumn id="1" xr3:uid="{84545716-D6BF-46EC-862C-8C465B3FE6ED}" name="Animateurs territoriaux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627E4EDB-BEB2-4CF8-AADB-C090458D4E67}" name="Adjoints_animation" displayName="Adjoints_animation" ref="M50:M54" totalsRowShown="0" headerRowDxfId="16">
  <autoFilter ref="M50:M54" xr:uid="{627E4EDB-BEB2-4CF8-AADB-C090458D4E67}"/>
  <tableColumns count="1">
    <tableColumn id="1" xr3:uid="{4CFFA6EE-C47D-4049-84E8-440F35C75008}" name="Adjoints animation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3DBE6059-19C7-4F12-B0E2-17DD1A8B378C}" name="Sportive" displayName="Sportive" ref="L57:L61" totalsRowShown="0" headerRowDxfId="15">
  <autoFilter ref="L57:L61" xr:uid="{3DBE6059-19C7-4F12-B0E2-17DD1A8B378C}"/>
  <tableColumns count="1">
    <tableColumn id="1" xr3:uid="{AABE4B51-980E-47DF-A038-511C0B83CA51}" name="Sportive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F16E30F5-439E-45E8-9308-D7C73B52141C}" name="Conseillers_APS_territoriaux" displayName="Conseillers_APS_territoriaux" ref="L63:L66" totalsRowShown="0" headerRowDxfId="14">
  <autoFilter ref="L63:L66" xr:uid="{F16E30F5-439E-45E8-9308-D7C73B52141C}"/>
  <tableColumns count="1">
    <tableColumn id="1" xr3:uid="{CA497B46-92CB-4791-ADA1-086C11BB66C6}" name="Conseillers APS territoriaux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866EE353-CF96-4B74-A168-A7438B399F5A}" name="Educateurs_APS_territoriaux" displayName="Educateurs_APS_territoriaux" ref="M63:M67" totalsRowShown="0" headerRowDxfId="13">
  <autoFilter ref="M63:M67" xr:uid="{866EE353-CF96-4B74-A168-A7438B399F5A}"/>
  <tableColumns count="1">
    <tableColumn id="1" xr3:uid="{F69A01B8-7027-4DFA-AA80-BEFF72269F2A}" name="Educateurs APS territoriaux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2D56D379-3B77-406D-A727-6FD4E3BEDC77}" name="Opérateurs_APS_territoriaux" displayName="Opérateurs_APS_territoriaux" ref="N63:N67" totalsRowShown="0" headerRowDxfId="12">
  <autoFilter ref="N63:N67" xr:uid="{2D56D379-3B77-406D-A727-6FD4E3BEDC77}"/>
  <tableColumns count="1">
    <tableColumn id="1" xr3:uid="{51130E9D-050E-47F7-886D-318ABDAC529F}" name="Opérateurs APS territoriaux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F3A2A61A-933B-43ED-BACC-A778075BEABD}" name="Culturelle" displayName="Culturelle" ref="L70:L76" totalsRowShown="0" headerRowDxfId="11">
  <autoFilter ref="L70:L76" xr:uid="{F3A2A61A-933B-43ED-BACC-A778075BEABD}"/>
  <tableColumns count="1">
    <tableColumn id="1" xr3:uid="{AE9E4A38-1079-43CB-808A-85DE615C5311}" name="Culturelle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FF247C17-174B-432A-ABEB-14AE21A8D91A}" name="Attachés_conservation_territoriaux" displayName="Attachés_conservation_territoriaux" ref="L78:L81" totalsRowShown="0" headerRowDxfId="10">
  <autoFilter ref="L78:L81" xr:uid="{FF247C17-174B-432A-ABEB-14AE21A8D91A}"/>
  <tableColumns count="1">
    <tableColumn id="1" xr3:uid="{16B28EC5-503E-4B7C-B6F0-5896915D384F}" name="Attachés conservation territoriaux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8ECCB5BD-2351-4F41-8842-4C0F69E0D827}" name="Bibliothécaires_territoriaux" displayName="Bibliothécaires_territoriaux" ref="M78:M81" totalsRowShown="0" headerRowDxfId="9">
  <autoFilter ref="M78:M81" xr:uid="{8ECCB5BD-2351-4F41-8842-4C0F69E0D827}"/>
  <tableColumns count="1">
    <tableColumn id="1" xr3:uid="{CB6013D2-2007-4506-8763-6647043052A8}" name="Bibliothécaires territoriaux"/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67A9C67D-A73C-4769-ABAC-ED73E95DC9E8}" name="Conservateurs_bibliothèque_patrimoine_territoriaux" displayName="Conservateurs_bibliothèque_patrimoine_territoriaux" ref="N78:N81" totalsRowShown="0" headerRowDxfId="8">
  <autoFilter ref="N78:N81" xr:uid="{67A9C67D-A73C-4769-ABAC-ED73E95DC9E8}"/>
  <tableColumns count="1">
    <tableColumn id="1" xr3:uid="{DBCE5575-4F62-47E2-9F4A-DDE0EC2FC220}" name="Conservateurs bibliothèque patrimoine territoriaux"/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5F4E8E7D-8B03-4388-9262-50C20C39CE6B}" name="Assistants_conservation_territoriaux" displayName="Assistants_conservation_territoriaux" ref="O78:O82" totalsRowShown="0">
  <autoFilter ref="O78:O82" xr:uid="{5F4E8E7D-8B03-4388-9262-50C20C39CE6B}"/>
  <tableColumns count="1">
    <tableColumn id="1" xr3:uid="{C1485860-248A-4434-B010-81F43123437C}" name="Assistants conservation territoriaux"/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B6174F0F-F27F-4AC8-849C-B0DA16A5D943}" name="Adjoints_patrimoine_territoriaux" displayName="Adjoints_patrimoine_territoriaux" ref="P78:P82" totalsRowShown="0">
  <autoFilter ref="P78:P82" xr:uid="{B6174F0F-F27F-4AC8-849C-B0DA16A5D943}"/>
  <tableColumns count="1">
    <tableColumn id="1" xr3:uid="{723288B4-9D32-46CF-A866-D4F22B61DE57}" name="Adjoints patrimoine territoriaux"/>
  </tableColumns>
  <tableStyleInfo name="TableStyleMedium2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313F49CA-1551-4EC0-83A1-53EB03A9B242}" name="Agents_maîtrise" displayName="Agents_maîtrise" ref="N37:N40" totalsRowShown="0" headerRowDxfId="7">
  <autoFilter ref="N37:N40" xr:uid="{313F49CA-1551-4EC0-83A1-53EB03A9B242}"/>
  <tableColumns count="1">
    <tableColumn id="1" xr3:uid="{2905E645-4CF6-4DFB-AC15-1E0C57CEDAD1}" name="Agents maîtrise territoriaux"/>
  </tableColumns>
  <tableStyleInfo name="TableStyleMedium2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8124BA59-FC4C-4786-B7C4-A53FFB8FE696}" name="Médico_sociale" displayName="Médico_sociale" ref="L85:L100" totalsRowShown="0" headerRowDxfId="6">
  <autoFilter ref="L85:L100" xr:uid="{8124BA59-FC4C-4786-B7C4-A53FFB8FE696}"/>
  <tableColumns count="1">
    <tableColumn id="1" xr3:uid="{B58AAA1A-BCD8-462A-AAD5-BB21FAB6BE12}" name="Médico sociale"/>
  </tableColumns>
  <tableStyleInfo name="TableStyleMedium2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AE2A08BD-6E05-47AF-9225-F928EE5F9FB3}" name="Conseillers_socio_éducatifs_territoriaux" displayName="Conseillers_socio_éducatifs_territoriaux" ref="L104:L108" totalsRowShown="0" headerRowDxfId="5">
  <autoFilter ref="L104:L108" xr:uid="{AE2A08BD-6E05-47AF-9225-F928EE5F9FB3}"/>
  <tableColumns count="1">
    <tableColumn id="1" xr3:uid="{E4E1EF37-ED72-498D-9958-F12F8EDCAABC}" name="Conseillers socio éducatifs territoriaux"/>
  </tableColumns>
  <tableStyleInfo name="TableStyleMedium2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BE53CAF1-532F-4CC3-8892-99A379B61409}" name="Pédi_Podo_Ergo_Orthopt_territoriaux" displayName="Pédi_Podo_Ergo_Orthopt_territoriaux" ref="M104:M107" totalsRowShown="0" headerRowDxfId="4">
  <autoFilter ref="M104:M107" xr:uid="{BE53CAF1-532F-4CC3-8892-99A379B61409}"/>
  <tableColumns count="1">
    <tableColumn id="1" xr3:uid="{CF2984A4-1966-4569-A838-1A98DD7C1471}" name="Pédi Podo Ergo Orthopt territoriaux"/>
  </tableColumns>
  <tableStyleInfo name="TableStyleMedium2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D4517B2C-2430-42DA-8A17-B0642C0B13B0}" name="Cadres_de_santé_territoriaux" displayName="Cadres_de_santé_territoriaux" ref="N104:N107" totalsRowShown="0" headerRowDxfId="3">
  <autoFilter ref="N104:N107" xr:uid="{D4517B2C-2430-42DA-8A17-B0642C0B13B0}"/>
  <tableColumns count="1">
    <tableColumn id="1" xr3:uid="{6A4085EE-FAF1-488F-B0F7-865C05EAB503}" name="Cadres de santé territoriaux"/>
  </tableColumns>
  <tableStyleInfo name="TableStyleMedium2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4660FF06-5C1F-41F8-969F-BF73AC23E9E0}" name="Masseurs_Kiné_Psychomot_Orthophonistes_territoriaux" displayName="Masseurs_Kiné_Psychomot_Orthophonistes_territoriaux" ref="O104:O107" totalsRowShown="0">
  <autoFilter ref="O104:O107" xr:uid="{4660FF06-5C1F-41F8-969F-BF73AC23E9E0}"/>
  <tableColumns count="1">
    <tableColumn id="1" xr3:uid="{720E854B-37CC-43AA-A80B-041EFE64FE22}" name="Masseurs Kiné Psychomot Orthophonistes territoriaux"/>
  </tableColumns>
  <tableStyleInfo name="TableStyleMedium2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56A3D28A-6EA3-4BFE-91BA-340168A4C5EE}" name="Puéricultrices_territoriales" displayName="Puéricultrices_territoriales" ref="P104:P107" totalsRowShown="0">
  <autoFilter ref="P104:P107" xr:uid="{56A3D28A-6EA3-4BFE-91BA-340168A4C5EE}"/>
  <tableColumns count="1">
    <tableColumn id="1" xr3:uid="{4DA87C6E-1761-46B8-AB46-F49A2FE3D1B0}" name="Puéricultrices territoriales"/>
  </tableColumns>
  <tableStyleInfo name="TableStyleMedium2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0EB27792-B475-4B89-97EA-B91D7DF37695}" name="Infirmiers_soins_généraux_territoriaux" displayName="Infirmiers_soins_généraux_territoriaux" ref="L110:L113" totalsRowShown="0">
  <autoFilter ref="L110:L113" xr:uid="{0EB27792-B475-4B89-97EA-B91D7DF37695}"/>
  <tableColumns count="1">
    <tableColumn id="1" xr3:uid="{A19B7545-CC10-49FC-B1F1-9AAAC41FF2E2}" name="Infirmiers soins généraux territoriaux"/>
  </tableColumns>
  <tableStyleInfo name="TableStyleMedium2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74F9C02A-1A55-435A-B801-D15D5B8DE022}" name="Sages_femmes_territoriales" displayName="Sages_femmes_territoriales" ref="M110:M113" totalsRowShown="0" headerRowDxfId="2" dataDxfId="1">
  <autoFilter ref="M110:M113" xr:uid="{74F9C02A-1A55-435A-B801-D15D5B8DE022}"/>
  <tableColumns count="1">
    <tableColumn id="1" xr3:uid="{1502B3B5-7AB3-4EEB-8AB3-3533EB600A0B}" name="Sages femmes territoriales" dataDxfId="0"/>
  </tableColumns>
  <tableStyleInfo name="TableStyleMedium2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94D5B911-34B0-4D10-BB71-7C84D979E79B}" name="Psychologues_territoriaux" displayName="Psychologues_territoriaux" ref="N110:N113" totalsRowShown="0">
  <autoFilter ref="N110:N113" xr:uid="{94D5B911-34B0-4D10-BB71-7C84D979E79B}"/>
  <tableColumns count="1">
    <tableColumn id="1" xr3:uid="{29FFA9B3-A583-4050-BB9C-8C804D197614}" name="Psychologues territoriaux"/>
  </tableColumns>
  <tableStyleInfo name="TableStyleMedium2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D91F1D46-192E-4D2D-A155-12558BD20575}" name="Educateurs_jeunes_enfants_territoriaux" displayName="Educateurs_jeunes_enfants_territoriaux" ref="O110:O113" totalsRowShown="0">
  <autoFilter ref="O110:O113" xr:uid="{D91F1D46-192E-4D2D-A155-12558BD20575}"/>
  <tableColumns count="1">
    <tableColumn id="1" xr3:uid="{BDE298F3-3D99-433E-B4A7-6BF4F1BA8B09}" name="Educateurs jeunes enfants territoriaux"/>
  </tableColumns>
  <tableStyleInfo name="TableStyleMedium2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64D6517D-7495-456D-876D-BCE1581DFED0}" name="Aides_soignants_territoriaux" displayName="Aides_soignants_territoriaux" ref="L115:L118" totalsRowShown="0">
  <autoFilter ref="L115:L118" xr:uid="{64D6517D-7495-456D-876D-BCE1581DFED0}"/>
  <tableColumns count="1">
    <tableColumn id="1" xr3:uid="{ABFE6F3B-0282-4BB8-A0AC-1E6458D9220B}" name="Aides soignants territoriaux"/>
  </tableColumns>
  <tableStyleInfo name="TableStyleMedium2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3" xr:uid="{8F267BF1-46F1-4EA6-9542-CC59FC6B6728}" name="Auxiliaires_puéricultures_territoriaux" displayName="Auxiliaires_puéricultures_territoriaux" ref="M115:M118" totalsRowShown="0">
  <autoFilter ref="M115:M118" xr:uid="{8F267BF1-46F1-4EA6-9542-CC59FC6B6728}"/>
  <tableColumns count="1">
    <tableColumn id="1" xr3:uid="{E8D40A5D-EB0C-4DEF-B9F1-FA0F23FAB5D4}" name="Auxiliaires puéricultures territoriaux"/>
  </tableColumns>
  <tableStyleInfo name="TableStyleMedium2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7195F832-C71C-46DB-9965-EB2C6D278B05}" name="Assistants_socio_éducatifs_territoriaux" displayName="Assistants_socio_éducatifs_territoriaux" ref="P110:P113" totalsRowShown="0">
  <autoFilter ref="P110:P113" xr:uid="{7195F832-C71C-46DB-9965-EB2C6D278B05}"/>
  <tableColumns count="1">
    <tableColumn id="1" xr3:uid="{40E2E7CF-F539-47AC-96FC-F62BE0290150}" name="Assistants socio éducatifs territoriaux"/>
  </tableColumns>
  <tableStyleInfo name="TableStyleMedium2"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5" xr:uid="{0B62005F-2D6D-45F8-B0E7-EA3026157B28}" name="ATSEM_territoriaux" displayName="ATSEM_territoriaux" ref="N115:N118" totalsRowShown="0">
  <autoFilter ref="N115:N118" xr:uid="{0B62005F-2D6D-45F8-B0E7-EA3026157B28}"/>
  <tableColumns count="1">
    <tableColumn id="1" xr3:uid="{DA4799D0-9EE5-4773-80F3-2F8875F1FF39}" name="ATSEM territoriaux"/>
  </tableColumns>
  <tableStyleInfo name="TableStyleMedium2" showFirstColumn="0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94943116-DE48-47C6-AE36-203816ECD687}" name="Agents_sociaux_territoriaux" displayName="Agents_sociaux_territoriaux" ref="O115:O119" totalsRowShown="0">
  <autoFilter ref="O115:O119" xr:uid="{94943116-DE48-47C6-AE36-203816ECD687}"/>
  <tableColumns count="1">
    <tableColumn id="1" xr3:uid="{3BC64D0B-1A5D-4FB3-A13F-95D9C8C060EF}" name="Agents sociaux territoriaux"/>
  </tableColumns>
  <tableStyleInfo name="TableStyleMedium2" showFirstColumn="0" showLastColumn="0" showRowStripes="1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98BD5A1-0DEB-4A04-AC91-BB7772890E7F}" name="IFSE" displayName="IFSE" ref="J1:J45" totalsRowShown="0">
  <autoFilter ref="J1:J45" xr:uid="{C98BD5A1-0DEB-4A04-AC91-BB7772890E7F}"/>
  <tableColumns count="1">
    <tableColumn id="1" xr3:uid="{28557ED4-5E9D-4711-B4DB-6A432EC8CCB5}" name="IFS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13" Type="http://schemas.openxmlformats.org/officeDocument/2006/relationships/table" Target="../tables/table13.xml"/><Relationship Id="rId18" Type="http://schemas.openxmlformats.org/officeDocument/2006/relationships/table" Target="../tables/table18.xml"/><Relationship Id="rId26" Type="http://schemas.openxmlformats.org/officeDocument/2006/relationships/table" Target="../tables/table26.xml"/><Relationship Id="rId39" Type="http://schemas.openxmlformats.org/officeDocument/2006/relationships/table" Target="../tables/table39.xml"/><Relationship Id="rId3" Type="http://schemas.openxmlformats.org/officeDocument/2006/relationships/table" Target="../tables/table3.xml"/><Relationship Id="rId21" Type="http://schemas.openxmlformats.org/officeDocument/2006/relationships/table" Target="../tables/table21.xml"/><Relationship Id="rId34" Type="http://schemas.openxmlformats.org/officeDocument/2006/relationships/table" Target="../tables/table34.xml"/><Relationship Id="rId42" Type="http://schemas.openxmlformats.org/officeDocument/2006/relationships/table" Target="../tables/table42.xml"/><Relationship Id="rId7" Type="http://schemas.openxmlformats.org/officeDocument/2006/relationships/table" Target="../tables/table7.xml"/><Relationship Id="rId12" Type="http://schemas.openxmlformats.org/officeDocument/2006/relationships/table" Target="../tables/table12.xml"/><Relationship Id="rId17" Type="http://schemas.openxmlformats.org/officeDocument/2006/relationships/table" Target="../tables/table17.xml"/><Relationship Id="rId25" Type="http://schemas.openxmlformats.org/officeDocument/2006/relationships/table" Target="../tables/table25.xml"/><Relationship Id="rId33" Type="http://schemas.openxmlformats.org/officeDocument/2006/relationships/table" Target="../tables/table33.xml"/><Relationship Id="rId38" Type="http://schemas.openxmlformats.org/officeDocument/2006/relationships/table" Target="../tables/table38.xml"/><Relationship Id="rId2" Type="http://schemas.openxmlformats.org/officeDocument/2006/relationships/table" Target="../tables/table2.xml"/><Relationship Id="rId16" Type="http://schemas.openxmlformats.org/officeDocument/2006/relationships/table" Target="../tables/table16.xml"/><Relationship Id="rId20" Type="http://schemas.openxmlformats.org/officeDocument/2006/relationships/table" Target="../tables/table20.xml"/><Relationship Id="rId29" Type="http://schemas.openxmlformats.org/officeDocument/2006/relationships/table" Target="../tables/table29.xml"/><Relationship Id="rId41" Type="http://schemas.openxmlformats.org/officeDocument/2006/relationships/table" Target="../tables/table41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24" Type="http://schemas.openxmlformats.org/officeDocument/2006/relationships/table" Target="../tables/table24.xml"/><Relationship Id="rId32" Type="http://schemas.openxmlformats.org/officeDocument/2006/relationships/table" Target="../tables/table32.xml"/><Relationship Id="rId37" Type="http://schemas.openxmlformats.org/officeDocument/2006/relationships/table" Target="../tables/table37.xml"/><Relationship Id="rId40" Type="http://schemas.openxmlformats.org/officeDocument/2006/relationships/table" Target="../tables/table40.xml"/><Relationship Id="rId45" Type="http://schemas.openxmlformats.org/officeDocument/2006/relationships/table" Target="../tables/table45.xml"/><Relationship Id="rId5" Type="http://schemas.openxmlformats.org/officeDocument/2006/relationships/table" Target="../tables/table5.xml"/><Relationship Id="rId15" Type="http://schemas.openxmlformats.org/officeDocument/2006/relationships/table" Target="../tables/table15.xml"/><Relationship Id="rId23" Type="http://schemas.openxmlformats.org/officeDocument/2006/relationships/table" Target="../tables/table23.xml"/><Relationship Id="rId28" Type="http://schemas.openxmlformats.org/officeDocument/2006/relationships/table" Target="../tables/table28.xml"/><Relationship Id="rId36" Type="http://schemas.openxmlformats.org/officeDocument/2006/relationships/table" Target="../tables/table36.xml"/><Relationship Id="rId10" Type="http://schemas.openxmlformats.org/officeDocument/2006/relationships/table" Target="../tables/table10.xml"/><Relationship Id="rId19" Type="http://schemas.openxmlformats.org/officeDocument/2006/relationships/table" Target="../tables/table19.xml"/><Relationship Id="rId31" Type="http://schemas.openxmlformats.org/officeDocument/2006/relationships/table" Target="../tables/table31.xml"/><Relationship Id="rId44" Type="http://schemas.openxmlformats.org/officeDocument/2006/relationships/table" Target="../tables/table44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Relationship Id="rId14" Type="http://schemas.openxmlformats.org/officeDocument/2006/relationships/table" Target="../tables/table14.xml"/><Relationship Id="rId22" Type="http://schemas.openxmlformats.org/officeDocument/2006/relationships/table" Target="../tables/table22.xml"/><Relationship Id="rId27" Type="http://schemas.openxmlformats.org/officeDocument/2006/relationships/table" Target="../tables/table27.xml"/><Relationship Id="rId30" Type="http://schemas.openxmlformats.org/officeDocument/2006/relationships/table" Target="../tables/table30.xml"/><Relationship Id="rId35" Type="http://schemas.openxmlformats.org/officeDocument/2006/relationships/table" Target="../tables/table35.xml"/><Relationship Id="rId43" Type="http://schemas.openxmlformats.org/officeDocument/2006/relationships/table" Target="../tables/table4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F27D3E-F360-4F3F-9E22-F0ABEEEF326A}">
  <sheetPr codeName="Feuil2"/>
  <dimension ref="A1:T819"/>
  <sheetViews>
    <sheetView topLeftCell="A220" zoomScale="85" zoomScaleNormal="85" workbookViewId="0">
      <selection activeCell="L24" sqref="L24"/>
    </sheetView>
  </sheetViews>
  <sheetFormatPr baseColWidth="10" defaultRowHeight="12.75" x14ac:dyDescent="0.2"/>
  <cols>
    <col min="1" max="1" width="13.42578125" bestFit="1" customWidth="1"/>
    <col min="2" max="2" width="33.5703125" customWidth="1"/>
    <col min="3" max="3" width="27.42578125" customWidth="1"/>
    <col min="4" max="4" width="60.28515625" bestFit="1" customWidth="1"/>
    <col min="12" max="12" width="23.42578125" customWidth="1"/>
    <col min="13" max="13" width="28.42578125" bestFit="1" customWidth="1"/>
    <col min="14" max="14" width="34.7109375" style="13" bestFit="1" customWidth="1"/>
    <col min="15" max="15" width="34.7109375" customWidth="1"/>
    <col min="16" max="16" width="31.5703125" customWidth="1"/>
    <col min="17" max="17" width="36.85546875" customWidth="1"/>
    <col min="18" max="18" width="27.42578125" style="13" customWidth="1"/>
    <col min="19" max="19" width="26.28515625" customWidth="1"/>
    <col min="20" max="20" width="11.28515625" customWidth="1"/>
    <col min="21" max="21" width="28" customWidth="1"/>
    <col min="22" max="22" width="36" customWidth="1"/>
    <col min="23" max="23" width="36.5703125" customWidth="1"/>
    <col min="24" max="24" width="20.28515625" customWidth="1"/>
    <col min="25" max="25" width="27.5703125" customWidth="1"/>
  </cols>
  <sheetData>
    <row r="1" spans="1:20" x14ac:dyDescent="0.2">
      <c r="A1" t="s">
        <v>1</v>
      </c>
      <c r="B1" t="s">
        <v>2</v>
      </c>
      <c r="C1" s="1" t="s">
        <v>73</v>
      </c>
      <c r="D1" t="s">
        <v>3</v>
      </c>
      <c r="E1" t="s">
        <v>4</v>
      </c>
      <c r="G1" t="s">
        <v>5</v>
      </c>
      <c r="H1" t="s">
        <v>6</v>
      </c>
      <c r="L1" t="s">
        <v>24</v>
      </c>
      <c r="N1" s="12" t="s">
        <v>72</v>
      </c>
      <c r="P1" s="1" t="s">
        <v>76</v>
      </c>
      <c r="Q1" s="17"/>
      <c r="S1" s="1" t="s">
        <v>301</v>
      </c>
      <c r="T1">
        <v>4005</v>
      </c>
    </row>
    <row r="2" spans="1:20" x14ac:dyDescent="0.2">
      <c r="A2" t="s">
        <v>7</v>
      </c>
      <c r="B2" t="s">
        <v>9</v>
      </c>
      <c r="C2" t="str">
        <f t="shared" ref="C2:C33" si="0">D2&amp;E2</f>
        <v>Rédacteur1</v>
      </c>
      <c r="D2" t="s">
        <v>0</v>
      </c>
      <c r="E2">
        <v>1</v>
      </c>
      <c r="G2">
        <v>373</v>
      </c>
      <c r="H2" t="s">
        <v>8</v>
      </c>
      <c r="Q2" s="16"/>
    </row>
    <row r="3" spans="1:20" x14ac:dyDescent="0.2">
      <c r="A3" t="s">
        <v>7</v>
      </c>
      <c r="B3" t="s">
        <v>9</v>
      </c>
      <c r="C3" t="str">
        <f t="shared" si="0"/>
        <v>Rédacteur2</v>
      </c>
      <c r="D3" t="s">
        <v>0</v>
      </c>
      <c r="E3">
        <v>2</v>
      </c>
      <c r="G3">
        <v>374</v>
      </c>
      <c r="H3" t="s">
        <v>8</v>
      </c>
      <c r="L3" t="s">
        <v>25</v>
      </c>
      <c r="N3" s="13">
        <v>1</v>
      </c>
      <c r="P3" s="16">
        <v>0.9</v>
      </c>
      <c r="Q3" s="19">
        <f>31/35</f>
        <v>0.88571428571428568</v>
      </c>
      <c r="S3" t="s">
        <v>299</v>
      </c>
      <c r="T3" s="114">
        <v>1867.02</v>
      </c>
    </row>
    <row r="4" spans="1:20" x14ac:dyDescent="0.2">
      <c r="A4" t="s">
        <v>7</v>
      </c>
      <c r="B4" t="s">
        <v>9</v>
      </c>
      <c r="C4" t="str">
        <f t="shared" si="0"/>
        <v>Rédacteur3</v>
      </c>
      <c r="D4" t="s">
        <v>0</v>
      </c>
      <c r="E4">
        <v>3</v>
      </c>
      <c r="G4">
        <v>375</v>
      </c>
      <c r="H4" t="s">
        <v>8</v>
      </c>
      <c r="L4" t="s">
        <v>26</v>
      </c>
      <c r="N4" s="13">
        <v>2</v>
      </c>
      <c r="P4" s="16">
        <v>0.8</v>
      </c>
      <c r="Q4" s="19">
        <f>6/7</f>
        <v>0.8571428571428571</v>
      </c>
    </row>
    <row r="5" spans="1:20" x14ac:dyDescent="0.2">
      <c r="A5" t="s">
        <v>7</v>
      </c>
      <c r="B5" t="s">
        <v>9</v>
      </c>
      <c r="C5" t="str">
        <f t="shared" si="0"/>
        <v>Rédacteur4</v>
      </c>
      <c r="D5" t="s">
        <v>0</v>
      </c>
      <c r="E5">
        <v>4</v>
      </c>
      <c r="G5">
        <v>376</v>
      </c>
      <c r="H5" t="s">
        <v>8</v>
      </c>
      <c r="N5" s="13">
        <v>3</v>
      </c>
      <c r="P5" s="16">
        <v>0.7</v>
      </c>
      <c r="Q5" s="19">
        <v>0.7</v>
      </c>
    </row>
    <row r="6" spans="1:20" x14ac:dyDescent="0.2">
      <c r="A6" t="s">
        <v>7</v>
      </c>
      <c r="B6" t="s">
        <v>9</v>
      </c>
      <c r="C6" t="str">
        <f t="shared" si="0"/>
        <v>Rédacteur5</v>
      </c>
      <c r="D6" t="s">
        <v>0</v>
      </c>
      <c r="E6">
        <v>5</v>
      </c>
      <c r="G6">
        <v>377</v>
      </c>
      <c r="H6" t="s">
        <v>8</v>
      </c>
      <c r="L6" s="2" t="s">
        <v>1</v>
      </c>
      <c r="N6" s="13">
        <v>4</v>
      </c>
      <c r="P6" s="16">
        <v>0.6</v>
      </c>
      <c r="Q6" s="19">
        <v>0.6</v>
      </c>
      <c r="S6" s="1" t="s">
        <v>295</v>
      </c>
      <c r="T6" s="1"/>
    </row>
    <row r="7" spans="1:20" x14ac:dyDescent="0.2">
      <c r="A7" t="s">
        <v>7</v>
      </c>
      <c r="B7" t="s">
        <v>9</v>
      </c>
      <c r="C7" t="str">
        <f t="shared" si="0"/>
        <v>Rédacteur6</v>
      </c>
      <c r="D7" t="s">
        <v>0</v>
      </c>
      <c r="E7">
        <v>6</v>
      </c>
      <c r="G7">
        <v>386</v>
      </c>
      <c r="H7" t="s">
        <v>8</v>
      </c>
      <c r="N7" s="13">
        <v>5</v>
      </c>
      <c r="P7" s="16">
        <v>0.5</v>
      </c>
      <c r="Q7" s="19">
        <v>0.5</v>
      </c>
    </row>
    <row r="8" spans="1:20" x14ac:dyDescent="0.2">
      <c r="A8" t="s">
        <v>7</v>
      </c>
      <c r="B8" t="s">
        <v>9</v>
      </c>
      <c r="C8" t="str">
        <f t="shared" si="0"/>
        <v>Rédacteur7</v>
      </c>
      <c r="D8" t="s">
        <v>0</v>
      </c>
      <c r="E8">
        <v>7</v>
      </c>
      <c r="G8">
        <v>401</v>
      </c>
      <c r="H8" t="s">
        <v>8</v>
      </c>
      <c r="L8" t="s">
        <v>7</v>
      </c>
      <c r="N8" s="13">
        <v>6</v>
      </c>
      <c r="P8" s="16"/>
      <c r="Q8" s="16"/>
      <c r="S8" s="1" t="s">
        <v>296</v>
      </c>
      <c r="T8" s="174">
        <f t="shared" ref="T8" si="1">1460/12</f>
        <v>121.66666666666667</v>
      </c>
    </row>
    <row r="9" spans="1:20" x14ac:dyDescent="0.2">
      <c r="A9" t="s">
        <v>7</v>
      </c>
      <c r="B9" t="s">
        <v>9</v>
      </c>
      <c r="C9" t="str">
        <f t="shared" si="0"/>
        <v>Rédacteur8</v>
      </c>
      <c r="D9" t="s">
        <v>0</v>
      </c>
      <c r="E9">
        <v>8</v>
      </c>
      <c r="G9">
        <v>420</v>
      </c>
      <c r="H9" t="s">
        <v>8</v>
      </c>
      <c r="L9" t="s">
        <v>18</v>
      </c>
      <c r="N9" s="13">
        <v>7</v>
      </c>
    </row>
    <row r="10" spans="1:20" x14ac:dyDescent="0.2">
      <c r="A10" t="s">
        <v>7</v>
      </c>
      <c r="B10" t="s">
        <v>9</v>
      </c>
      <c r="C10" t="str">
        <f t="shared" si="0"/>
        <v>Rédacteur9</v>
      </c>
      <c r="D10" t="s">
        <v>0</v>
      </c>
      <c r="E10">
        <v>9</v>
      </c>
      <c r="G10">
        <v>436</v>
      </c>
      <c r="H10" t="s">
        <v>8</v>
      </c>
      <c r="L10" t="s">
        <v>19</v>
      </c>
      <c r="N10" s="13">
        <v>8</v>
      </c>
      <c r="P10" s="1" t="s">
        <v>266</v>
      </c>
      <c r="S10" s="1" t="s">
        <v>294</v>
      </c>
      <c r="T10" s="1"/>
    </row>
    <row r="11" spans="1:20" x14ac:dyDescent="0.2">
      <c r="A11" t="s">
        <v>7</v>
      </c>
      <c r="B11" t="s">
        <v>9</v>
      </c>
      <c r="C11" t="str">
        <f t="shared" si="0"/>
        <v>Rédacteur10</v>
      </c>
      <c r="D11" t="s">
        <v>0</v>
      </c>
      <c r="E11">
        <v>10</v>
      </c>
      <c r="G11">
        <v>446</v>
      </c>
      <c r="H11" t="s">
        <v>8</v>
      </c>
      <c r="L11" s="1" t="s">
        <v>406</v>
      </c>
      <c r="N11" s="13">
        <v>9</v>
      </c>
    </row>
    <row r="12" spans="1:20" x14ac:dyDescent="0.2">
      <c r="A12" t="s">
        <v>7</v>
      </c>
      <c r="B12" t="s">
        <v>9</v>
      </c>
      <c r="C12" t="str">
        <f t="shared" si="0"/>
        <v>Rédacteur11</v>
      </c>
      <c r="D12" t="s">
        <v>0</v>
      </c>
      <c r="E12">
        <v>11</v>
      </c>
      <c r="G12">
        <v>462</v>
      </c>
      <c r="H12" t="s">
        <v>8</v>
      </c>
      <c r="L12" t="s">
        <v>303</v>
      </c>
      <c r="N12" s="13">
        <v>10</v>
      </c>
      <c r="P12" s="1" t="s">
        <v>15</v>
      </c>
      <c r="Q12">
        <v>389</v>
      </c>
      <c r="S12" s="17" t="s">
        <v>296</v>
      </c>
      <c r="T12" s="18">
        <v>241.21</v>
      </c>
    </row>
    <row r="13" spans="1:20" x14ac:dyDescent="0.2">
      <c r="A13" t="s">
        <v>7</v>
      </c>
      <c r="B13" t="s">
        <v>9</v>
      </c>
      <c r="C13" t="str">
        <f t="shared" si="0"/>
        <v>Rédacteur12</v>
      </c>
      <c r="D13" t="s">
        <v>0</v>
      </c>
      <c r="E13">
        <v>12</v>
      </c>
      <c r="G13">
        <v>482</v>
      </c>
      <c r="H13" t="s">
        <v>8</v>
      </c>
      <c r="L13" t="s">
        <v>304</v>
      </c>
      <c r="N13" s="13">
        <v>11</v>
      </c>
      <c r="P13" s="1" t="s">
        <v>8</v>
      </c>
      <c r="Q13">
        <v>278</v>
      </c>
    </row>
    <row r="14" spans="1:20" x14ac:dyDescent="0.2">
      <c r="A14" t="s">
        <v>7</v>
      </c>
      <c r="B14" t="s">
        <v>9</v>
      </c>
      <c r="C14" t="str">
        <f t="shared" si="0"/>
        <v>Rédacteur13</v>
      </c>
      <c r="D14" t="s">
        <v>0</v>
      </c>
      <c r="E14">
        <v>13</v>
      </c>
      <c r="G14">
        <v>508</v>
      </c>
      <c r="H14" t="s">
        <v>8</v>
      </c>
      <c r="N14" s="13">
        <v>12</v>
      </c>
      <c r="P14" s="1" t="s">
        <v>74</v>
      </c>
      <c r="Q14">
        <v>167</v>
      </c>
      <c r="S14" s="1" t="s">
        <v>297</v>
      </c>
      <c r="T14" s="1"/>
    </row>
    <row r="15" spans="1:20" x14ac:dyDescent="0.2">
      <c r="A15" t="s">
        <v>7</v>
      </c>
      <c r="B15" t="s">
        <v>9</v>
      </c>
      <c r="C15" t="str">
        <f t="shared" si="0"/>
        <v>Rédacteur principal 2° classe1</v>
      </c>
      <c r="D15" t="s">
        <v>290</v>
      </c>
      <c r="E15">
        <v>1</v>
      </c>
      <c r="G15">
        <v>376</v>
      </c>
      <c r="H15" t="s">
        <v>8</v>
      </c>
      <c r="N15" s="13">
        <v>13</v>
      </c>
    </row>
    <row r="16" spans="1:20" x14ac:dyDescent="0.2">
      <c r="A16" t="s">
        <v>7</v>
      </c>
      <c r="B16" t="s">
        <v>9</v>
      </c>
      <c r="C16" t="str">
        <f t="shared" si="0"/>
        <v>Rédacteur principal 2° classe2</v>
      </c>
      <c r="D16" t="s">
        <v>290</v>
      </c>
      <c r="E16">
        <v>2</v>
      </c>
      <c r="G16">
        <v>377</v>
      </c>
      <c r="H16" t="s">
        <v>8</v>
      </c>
      <c r="L16" s="2" t="s">
        <v>7</v>
      </c>
      <c r="N16" s="13" t="s">
        <v>12</v>
      </c>
      <c r="S16" s="1" t="s">
        <v>296</v>
      </c>
      <c r="T16">
        <v>118</v>
      </c>
    </row>
    <row r="17" spans="1:14" x14ac:dyDescent="0.2">
      <c r="A17" t="s">
        <v>7</v>
      </c>
      <c r="B17" t="s">
        <v>9</v>
      </c>
      <c r="C17" t="str">
        <f t="shared" si="0"/>
        <v>Rédacteur principal 2° classe3</v>
      </c>
      <c r="D17" t="s">
        <v>290</v>
      </c>
      <c r="E17">
        <v>3</v>
      </c>
      <c r="G17">
        <v>384</v>
      </c>
      <c r="H17" t="s">
        <v>8</v>
      </c>
      <c r="L17" s="1"/>
      <c r="N17" s="13" t="s">
        <v>13</v>
      </c>
    </row>
    <row r="18" spans="1:14" x14ac:dyDescent="0.2">
      <c r="A18" t="s">
        <v>7</v>
      </c>
      <c r="B18" t="s">
        <v>9</v>
      </c>
      <c r="C18" t="str">
        <f t="shared" si="0"/>
        <v>Rédacteur principal 2° classe4</v>
      </c>
      <c r="D18" t="s">
        <v>290</v>
      </c>
      <c r="E18">
        <v>4</v>
      </c>
      <c r="G18">
        <v>395</v>
      </c>
      <c r="H18" t="s">
        <v>8</v>
      </c>
      <c r="L18" s="1" t="s">
        <v>21</v>
      </c>
      <c r="N18" s="13" t="s">
        <v>14</v>
      </c>
    </row>
    <row r="19" spans="1:14" x14ac:dyDescent="0.2">
      <c r="A19" t="s">
        <v>7</v>
      </c>
      <c r="B19" t="s">
        <v>9</v>
      </c>
      <c r="C19" t="str">
        <f t="shared" si="0"/>
        <v>Rédacteur principal 2° classe5</v>
      </c>
      <c r="D19" t="s">
        <v>290</v>
      </c>
      <c r="E19">
        <v>5</v>
      </c>
      <c r="G19">
        <v>406</v>
      </c>
      <c r="H19" t="s">
        <v>8</v>
      </c>
      <c r="L19" s="1" t="s">
        <v>22</v>
      </c>
      <c r="N19" s="13" t="s">
        <v>65</v>
      </c>
    </row>
    <row r="20" spans="1:14" x14ac:dyDescent="0.2">
      <c r="A20" t="s">
        <v>7</v>
      </c>
      <c r="B20" t="s">
        <v>9</v>
      </c>
      <c r="C20" t="str">
        <f t="shared" si="0"/>
        <v>Rédacteur principal 2° classe6</v>
      </c>
      <c r="D20" t="s">
        <v>290</v>
      </c>
      <c r="E20">
        <v>6</v>
      </c>
      <c r="G20">
        <v>421</v>
      </c>
      <c r="H20" t="s">
        <v>8</v>
      </c>
      <c r="L20" s="1" t="s">
        <v>23</v>
      </c>
      <c r="N20" s="13" t="s">
        <v>66</v>
      </c>
    </row>
    <row r="21" spans="1:14" x14ac:dyDescent="0.2">
      <c r="A21" t="s">
        <v>7</v>
      </c>
      <c r="B21" t="s">
        <v>9</v>
      </c>
      <c r="C21" t="str">
        <f t="shared" si="0"/>
        <v>Rédacteur principal 2° classe7</v>
      </c>
      <c r="D21" t="s">
        <v>290</v>
      </c>
      <c r="E21">
        <v>7</v>
      </c>
      <c r="G21">
        <v>441</v>
      </c>
      <c r="H21" t="s">
        <v>8</v>
      </c>
      <c r="N21" s="13" t="s">
        <v>67</v>
      </c>
    </row>
    <row r="22" spans="1:14" x14ac:dyDescent="0.2">
      <c r="A22" t="s">
        <v>7</v>
      </c>
      <c r="B22" t="s">
        <v>9</v>
      </c>
      <c r="C22" t="str">
        <f t="shared" si="0"/>
        <v>Rédacteur principal 2° classe8</v>
      </c>
      <c r="D22" t="s">
        <v>290</v>
      </c>
      <c r="E22">
        <v>8</v>
      </c>
      <c r="G22">
        <v>457</v>
      </c>
      <c r="H22" t="s">
        <v>8</v>
      </c>
    </row>
    <row r="23" spans="1:14" x14ac:dyDescent="0.2">
      <c r="A23" t="s">
        <v>7</v>
      </c>
      <c r="B23" t="s">
        <v>9</v>
      </c>
      <c r="C23" t="str">
        <f t="shared" si="0"/>
        <v>Rédacteur principal 2° classe9</v>
      </c>
      <c r="D23" t="s">
        <v>290</v>
      </c>
      <c r="E23">
        <v>9</v>
      </c>
      <c r="G23">
        <v>466</v>
      </c>
      <c r="H23" t="s">
        <v>8</v>
      </c>
      <c r="L23" s="2" t="s">
        <v>20</v>
      </c>
      <c r="M23" s="2" t="s">
        <v>9</v>
      </c>
      <c r="N23" s="14" t="s">
        <v>71</v>
      </c>
    </row>
    <row r="24" spans="1:14" x14ac:dyDescent="0.2">
      <c r="A24" t="s">
        <v>7</v>
      </c>
      <c r="B24" t="s">
        <v>9</v>
      </c>
      <c r="C24" t="str">
        <f t="shared" si="0"/>
        <v>Rédacteur principal 2° classe10</v>
      </c>
      <c r="D24" t="s">
        <v>290</v>
      </c>
      <c r="E24">
        <v>10</v>
      </c>
      <c r="G24">
        <v>485</v>
      </c>
      <c r="H24" t="s">
        <v>8</v>
      </c>
    </row>
    <row r="25" spans="1:14" x14ac:dyDescent="0.2">
      <c r="A25" t="s">
        <v>7</v>
      </c>
      <c r="B25" t="s">
        <v>9</v>
      </c>
      <c r="C25" t="str">
        <f t="shared" si="0"/>
        <v>Rédacteur principal 2° classe11</v>
      </c>
      <c r="D25" t="s">
        <v>290</v>
      </c>
      <c r="E25">
        <v>11</v>
      </c>
      <c r="G25">
        <v>509</v>
      </c>
      <c r="H25" t="s">
        <v>8</v>
      </c>
      <c r="L25" t="s">
        <v>10</v>
      </c>
      <c r="M25" t="s">
        <v>0</v>
      </c>
      <c r="N25" s="107" t="s">
        <v>283</v>
      </c>
    </row>
    <row r="26" spans="1:14" x14ac:dyDescent="0.2">
      <c r="A26" t="s">
        <v>7</v>
      </c>
      <c r="B26" t="s">
        <v>9</v>
      </c>
      <c r="C26" t="str">
        <f t="shared" si="0"/>
        <v>Rédacteur principal 2° classe12</v>
      </c>
      <c r="D26" t="s">
        <v>290</v>
      </c>
      <c r="E26">
        <v>12</v>
      </c>
      <c r="G26">
        <v>539</v>
      </c>
      <c r="H26" t="s">
        <v>8</v>
      </c>
      <c r="L26" t="s">
        <v>11</v>
      </c>
      <c r="M26" t="s">
        <v>290</v>
      </c>
      <c r="N26" s="58" t="s">
        <v>282</v>
      </c>
    </row>
    <row r="27" spans="1:14" x14ac:dyDescent="0.2">
      <c r="A27" t="s">
        <v>7</v>
      </c>
      <c r="B27" t="s">
        <v>9</v>
      </c>
      <c r="C27" t="str">
        <f t="shared" si="0"/>
        <v>Rédacteur principal 1° classe1</v>
      </c>
      <c r="D27" t="s">
        <v>291</v>
      </c>
      <c r="E27">
        <v>1</v>
      </c>
      <c r="G27">
        <v>397</v>
      </c>
      <c r="H27" t="s">
        <v>8</v>
      </c>
      <c r="L27" t="s">
        <v>17</v>
      </c>
      <c r="M27" t="s">
        <v>291</v>
      </c>
      <c r="N27" s="58" t="s">
        <v>284</v>
      </c>
    </row>
    <row r="28" spans="1:14" x14ac:dyDescent="0.2">
      <c r="A28" t="s">
        <v>7</v>
      </c>
      <c r="B28" t="s">
        <v>9</v>
      </c>
      <c r="C28" t="str">
        <f t="shared" si="0"/>
        <v>Rédacteur principal 1° classe2</v>
      </c>
      <c r="D28" t="s">
        <v>291</v>
      </c>
      <c r="E28">
        <v>2</v>
      </c>
      <c r="G28">
        <v>409</v>
      </c>
      <c r="H28" t="s">
        <v>8</v>
      </c>
    </row>
    <row r="29" spans="1:14" x14ac:dyDescent="0.2">
      <c r="A29" t="s">
        <v>7</v>
      </c>
      <c r="B29" t="s">
        <v>9</v>
      </c>
      <c r="C29" t="str">
        <f t="shared" si="0"/>
        <v>Rédacteur principal 1° classe3</v>
      </c>
      <c r="D29" t="s">
        <v>291</v>
      </c>
      <c r="E29">
        <v>3</v>
      </c>
      <c r="G29">
        <v>424</v>
      </c>
      <c r="H29" t="s">
        <v>8</v>
      </c>
      <c r="L29" s="1"/>
    </row>
    <row r="30" spans="1:14" x14ac:dyDescent="0.2">
      <c r="A30" t="s">
        <v>7</v>
      </c>
      <c r="B30" t="s">
        <v>9</v>
      </c>
      <c r="C30" t="str">
        <f t="shared" si="0"/>
        <v>Rédacteur principal 1° classe4</v>
      </c>
      <c r="D30" t="s">
        <v>291</v>
      </c>
      <c r="E30">
        <v>4</v>
      </c>
      <c r="G30">
        <v>446</v>
      </c>
      <c r="H30" t="s">
        <v>8</v>
      </c>
      <c r="L30" s="1" t="s">
        <v>19</v>
      </c>
    </row>
    <row r="31" spans="1:14" x14ac:dyDescent="0.2">
      <c r="A31" t="s">
        <v>7</v>
      </c>
      <c r="B31" t="s">
        <v>9</v>
      </c>
      <c r="C31" t="str">
        <f t="shared" si="0"/>
        <v>Rédacteur principal 1° classe5</v>
      </c>
      <c r="D31" t="s">
        <v>291</v>
      </c>
      <c r="E31">
        <v>5</v>
      </c>
      <c r="G31">
        <v>470</v>
      </c>
      <c r="H31" t="s">
        <v>8</v>
      </c>
    </row>
    <row r="32" spans="1:14" x14ac:dyDescent="0.2">
      <c r="A32" t="s">
        <v>7</v>
      </c>
      <c r="B32" t="s">
        <v>9</v>
      </c>
      <c r="C32" t="str">
        <f t="shared" si="0"/>
        <v>Rédacteur principal 1° classe6</v>
      </c>
      <c r="D32" t="s">
        <v>291</v>
      </c>
      <c r="E32">
        <v>6</v>
      </c>
      <c r="G32">
        <v>489</v>
      </c>
      <c r="H32" t="s">
        <v>8</v>
      </c>
      <c r="L32" s="1" t="s">
        <v>272</v>
      </c>
    </row>
    <row r="33" spans="1:15" x14ac:dyDescent="0.2">
      <c r="A33" t="s">
        <v>7</v>
      </c>
      <c r="B33" t="s">
        <v>9</v>
      </c>
      <c r="C33" t="str">
        <f t="shared" si="0"/>
        <v>Rédacteur principal 1° classe7</v>
      </c>
      <c r="D33" t="s">
        <v>291</v>
      </c>
      <c r="E33">
        <v>7</v>
      </c>
      <c r="G33">
        <v>513</v>
      </c>
      <c r="H33" t="s">
        <v>8</v>
      </c>
      <c r="L33" s="1" t="s">
        <v>271</v>
      </c>
    </row>
    <row r="34" spans="1:15" x14ac:dyDescent="0.2">
      <c r="A34" t="s">
        <v>7</v>
      </c>
      <c r="B34" t="s">
        <v>9</v>
      </c>
      <c r="C34" t="str">
        <f t="shared" ref="C34:C65" si="2">D34&amp;E34</f>
        <v>Rédacteur principal 1° classe8</v>
      </c>
      <c r="D34" t="s">
        <v>291</v>
      </c>
      <c r="E34">
        <v>8</v>
      </c>
      <c r="G34">
        <v>539</v>
      </c>
      <c r="H34" t="s">
        <v>8</v>
      </c>
      <c r="L34" s="1" t="s">
        <v>346</v>
      </c>
    </row>
    <row r="35" spans="1:15" x14ac:dyDescent="0.2">
      <c r="A35" t="s">
        <v>7</v>
      </c>
      <c r="B35" t="s">
        <v>9</v>
      </c>
      <c r="C35" t="str">
        <f t="shared" si="2"/>
        <v>Rédacteur principal 1° classe9</v>
      </c>
      <c r="D35" t="s">
        <v>291</v>
      </c>
      <c r="E35">
        <v>9</v>
      </c>
      <c r="G35">
        <v>556</v>
      </c>
      <c r="H35" t="s">
        <v>8</v>
      </c>
      <c r="L35" s="1" t="s">
        <v>273</v>
      </c>
    </row>
    <row r="36" spans="1:15" x14ac:dyDescent="0.2">
      <c r="A36" t="s">
        <v>7</v>
      </c>
      <c r="B36" t="s">
        <v>9</v>
      </c>
      <c r="C36" t="str">
        <f t="shared" si="2"/>
        <v>Rédacteur principal 1° classe10</v>
      </c>
      <c r="D36" t="s">
        <v>291</v>
      </c>
      <c r="E36">
        <v>10</v>
      </c>
      <c r="G36">
        <v>574</v>
      </c>
      <c r="H36" t="s">
        <v>8</v>
      </c>
    </row>
    <row r="37" spans="1:15" x14ac:dyDescent="0.2">
      <c r="A37" t="s">
        <v>7</v>
      </c>
      <c r="B37" t="s">
        <v>9</v>
      </c>
      <c r="C37" t="str">
        <f t="shared" si="2"/>
        <v>Rédacteur principal 1° classe11</v>
      </c>
      <c r="D37" t="s">
        <v>291</v>
      </c>
      <c r="E37">
        <v>11</v>
      </c>
      <c r="G37">
        <v>592</v>
      </c>
      <c r="H37" t="s">
        <v>8</v>
      </c>
      <c r="L37" s="1" t="s">
        <v>268</v>
      </c>
      <c r="M37" s="1" t="s">
        <v>280</v>
      </c>
      <c r="N37" s="1" t="s">
        <v>347</v>
      </c>
      <c r="O37" s="1" t="s">
        <v>281</v>
      </c>
    </row>
    <row r="38" spans="1:15" x14ac:dyDescent="0.2">
      <c r="A38" t="s">
        <v>7</v>
      </c>
      <c r="B38" t="s">
        <v>16</v>
      </c>
      <c r="C38" t="str">
        <f t="shared" si="2"/>
        <v>Attaché1</v>
      </c>
      <c r="D38" t="s">
        <v>10</v>
      </c>
      <c r="E38">
        <v>1</v>
      </c>
      <c r="G38">
        <v>395</v>
      </c>
      <c r="H38" t="s">
        <v>15</v>
      </c>
      <c r="L38" s="1"/>
      <c r="M38" s="1"/>
      <c r="N38" s="1"/>
      <c r="O38" s="1"/>
    </row>
    <row r="39" spans="1:15" x14ac:dyDescent="0.2">
      <c r="A39" t="s">
        <v>7</v>
      </c>
      <c r="B39" t="s">
        <v>16</v>
      </c>
      <c r="C39" t="str">
        <f t="shared" si="2"/>
        <v>Attaché2</v>
      </c>
      <c r="D39" t="s">
        <v>10</v>
      </c>
      <c r="E39">
        <v>2</v>
      </c>
      <c r="G39">
        <v>415</v>
      </c>
      <c r="H39" t="s">
        <v>15</v>
      </c>
      <c r="L39" t="s">
        <v>88</v>
      </c>
      <c r="M39" t="s">
        <v>174</v>
      </c>
      <c r="N39" t="s">
        <v>348</v>
      </c>
      <c r="O39" t="s">
        <v>287</v>
      </c>
    </row>
    <row r="40" spans="1:15" x14ac:dyDescent="0.2">
      <c r="A40" t="s">
        <v>7</v>
      </c>
      <c r="B40" t="s">
        <v>16</v>
      </c>
      <c r="C40" t="str">
        <f t="shared" si="2"/>
        <v>Attaché3</v>
      </c>
      <c r="D40" t="s">
        <v>10</v>
      </c>
      <c r="E40">
        <v>3</v>
      </c>
      <c r="G40">
        <v>435</v>
      </c>
      <c r="H40" t="s">
        <v>15</v>
      </c>
      <c r="L40" t="s">
        <v>269</v>
      </c>
      <c r="M40" t="s">
        <v>292</v>
      </c>
      <c r="N40" t="s">
        <v>349</v>
      </c>
      <c r="O40" t="s">
        <v>288</v>
      </c>
    </row>
    <row r="41" spans="1:15" x14ac:dyDescent="0.2">
      <c r="A41" t="s">
        <v>7</v>
      </c>
      <c r="B41" t="s">
        <v>16</v>
      </c>
      <c r="C41" t="str">
        <f t="shared" si="2"/>
        <v>Attaché4</v>
      </c>
      <c r="D41" t="s">
        <v>10</v>
      </c>
      <c r="E41">
        <v>4</v>
      </c>
      <c r="G41">
        <v>455</v>
      </c>
      <c r="H41" t="s">
        <v>15</v>
      </c>
      <c r="L41" t="s">
        <v>270</v>
      </c>
      <c r="M41" t="s">
        <v>293</v>
      </c>
      <c r="N41"/>
      <c r="O41" t="s">
        <v>289</v>
      </c>
    </row>
    <row r="42" spans="1:15" x14ac:dyDescent="0.2">
      <c r="A42" t="s">
        <v>7</v>
      </c>
      <c r="B42" t="s">
        <v>16</v>
      </c>
      <c r="C42" t="str">
        <f t="shared" si="2"/>
        <v>Attaché5</v>
      </c>
      <c r="D42" t="s">
        <v>10</v>
      </c>
      <c r="E42">
        <v>5</v>
      </c>
      <c r="G42">
        <v>485</v>
      </c>
      <c r="H42" t="s">
        <v>15</v>
      </c>
    </row>
    <row r="43" spans="1:15" x14ac:dyDescent="0.2">
      <c r="A43" t="s">
        <v>7</v>
      </c>
      <c r="B43" t="s">
        <v>16</v>
      </c>
      <c r="C43" t="str">
        <f t="shared" si="2"/>
        <v>Attaché6</v>
      </c>
      <c r="D43" t="s">
        <v>10</v>
      </c>
      <c r="E43">
        <v>6</v>
      </c>
      <c r="G43">
        <v>518</v>
      </c>
      <c r="H43" t="s">
        <v>15</v>
      </c>
    </row>
    <row r="44" spans="1:15" x14ac:dyDescent="0.2">
      <c r="A44" t="s">
        <v>7</v>
      </c>
      <c r="B44" t="s">
        <v>16</v>
      </c>
      <c r="C44" t="str">
        <f t="shared" si="2"/>
        <v>Attaché7</v>
      </c>
      <c r="D44" t="s">
        <v>10</v>
      </c>
      <c r="E44">
        <v>7</v>
      </c>
      <c r="G44">
        <v>550</v>
      </c>
      <c r="H44" t="s">
        <v>15</v>
      </c>
      <c r="L44" s="1" t="s">
        <v>18</v>
      </c>
    </row>
    <row r="45" spans="1:15" x14ac:dyDescent="0.2">
      <c r="A45" t="s">
        <v>7</v>
      </c>
      <c r="B45" t="s">
        <v>16</v>
      </c>
      <c r="C45" t="str">
        <f t="shared" si="2"/>
        <v>Attaché8</v>
      </c>
      <c r="D45" t="s">
        <v>10</v>
      </c>
      <c r="E45">
        <v>8</v>
      </c>
      <c r="G45">
        <v>580</v>
      </c>
      <c r="H45" t="s">
        <v>15</v>
      </c>
    </row>
    <row r="46" spans="1:15" x14ac:dyDescent="0.2">
      <c r="A46" t="s">
        <v>7</v>
      </c>
      <c r="B46" t="s">
        <v>16</v>
      </c>
      <c r="C46" t="str">
        <f t="shared" si="2"/>
        <v>Attaché9</v>
      </c>
      <c r="D46" t="s">
        <v>10</v>
      </c>
      <c r="E46">
        <v>9</v>
      </c>
      <c r="G46">
        <v>610</v>
      </c>
      <c r="H46" t="s">
        <v>15</v>
      </c>
      <c r="L46" s="1" t="s">
        <v>305</v>
      </c>
    </row>
    <row r="47" spans="1:15" x14ac:dyDescent="0.2">
      <c r="A47" t="s">
        <v>7</v>
      </c>
      <c r="B47" t="s">
        <v>16</v>
      </c>
      <c r="C47" t="str">
        <f t="shared" si="2"/>
        <v>Attaché10</v>
      </c>
      <c r="D47" t="s">
        <v>10</v>
      </c>
      <c r="E47">
        <v>10</v>
      </c>
      <c r="G47">
        <v>645</v>
      </c>
      <c r="H47" t="s">
        <v>15</v>
      </c>
      <c r="L47" s="1" t="s">
        <v>307</v>
      </c>
    </row>
    <row r="48" spans="1:15" x14ac:dyDescent="0.2">
      <c r="A48" t="s">
        <v>7</v>
      </c>
      <c r="B48" t="s">
        <v>16</v>
      </c>
      <c r="C48" t="str">
        <f t="shared" si="2"/>
        <v>Attaché11</v>
      </c>
      <c r="D48" t="s">
        <v>10</v>
      </c>
      <c r="E48">
        <v>11</v>
      </c>
      <c r="G48">
        <v>678</v>
      </c>
      <c r="H48" t="s">
        <v>15</v>
      </c>
      <c r="L48" s="1"/>
    </row>
    <row r="49" spans="1:14" x14ac:dyDescent="0.2">
      <c r="A49" t="s">
        <v>7</v>
      </c>
      <c r="B49" t="s">
        <v>16</v>
      </c>
      <c r="C49" t="str">
        <f t="shared" si="2"/>
        <v>Attaché principal1</v>
      </c>
      <c r="D49" t="s">
        <v>11</v>
      </c>
      <c r="E49">
        <v>1</v>
      </c>
      <c r="G49">
        <v>505</v>
      </c>
      <c r="H49" t="s">
        <v>15</v>
      </c>
      <c r="L49" s="1"/>
    </row>
    <row r="50" spans="1:14" x14ac:dyDescent="0.2">
      <c r="A50" t="s">
        <v>7</v>
      </c>
      <c r="B50" t="s">
        <v>16</v>
      </c>
      <c r="C50" t="str">
        <f t="shared" si="2"/>
        <v>Attaché principal2</v>
      </c>
      <c r="D50" t="s">
        <v>11</v>
      </c>
      <c r="E50">
        <v>2</v>
      </c>
      <c r="G50">
        <v>540</v>
      </c>
      <c r="H50" t="s">
        <v>15</v>
      </c>
      <c r="L50" s="1" t="s">
        <v>306</v>
      </c>
      <c r="M50" s="1" t="s">
        <v>308</v>
      </c>
    </row>
    <row r="51" spans="1:14" x14ac:dyDescent="0.2">
      <c r="A51" t="s">
        <v>7</v>
      </c>
      <c r="B51" t="s">
        <v>16</v>
      </c>
      <c r="C51" t="str">
        <f t="shared" si="2"/>
        <v>Attaché principal3</v>
      </c>
      <c r="D51" t="s">
        <v>11</v>
      </c>
      <c r="E51">
        <v>3</v>
      </c>
      <c r="G51">
        <v>580</v>
      </c>
      <c r="H51" t="s">
        <v>15</v>
      </c>
      <c r="L51" s="1"/>
      <c r="M51" s="1"/>
    </row>
    <row r="52" spans="1:14" x14ac:dyDescent="0.2">
      <c r="A52" t="s">
        <v>7</v>
      </c>
      <c r="B52" t="s">
        <v>16</v>
      </c>
      <c r="C52" t="str">
        <f t="shared" si="2"/>
        <v>Attaché principal4</v>
      </c>
      <c r="D52" t="s">
        <v>11</v>
      </c>
      <c r="E52">
        <v>4</v>
      </c>
      <c r="G52">
        <v>610</v>
      </c>
      <c r="H52" t="s">
        <v>15</v>
      </c>
      <c r="L52" t="s">
        <v>183</v>
      </c>
      <c r="M52" t="s">
        <v>311</v>
      </c>
    </row>
    <row r="53" spans="1:14" x14ac:dyDescent="0.2">
      <c r="A53" t="s">
        <v>7</v>
      </c>
      <c r="B53" t="s">
        <v>16</v>
      </c>
      <c r="C53" t="str">
        <f t="shared" si="2"/>
        <v>Attaché principal5</v>
      </c>
      <c r="D53" t="s">
        <v>11</v>
      </c>
      <c r="E53">
        <v>5</v>
      </c>
      <c r="G53">
        <v>655</v>
      </c>
      <c r="H53" t="s">
        <v>15</v>
      </c>
      <c r="L53" t="s">
        <v>309</v>
      </c>
      <c r="M53" t="s">
        <v>312</v>
      </c>
    </row>
    <row r="54" spans="1:14" x14ac:dyDescent="0.2">
      <c r="A54" t="s">
        <v>7</v>
      </c>
      <c r="B54" t="s">
        <v>16</v>
      </c>
      <c r="C54" t="str">
        <f t="shared" si="2"/>
        <v>Attaché principal6</v>
      </c>
      <c r="D54" t="s">
        <v>11</v>
      </c>
      <c r="E54">
        <v>6</v>
      </c>
      <c r="G54">
        <v>695</v>
      </c>
      <c r="H54" t="s">
        <v>15</v>
      </c>
      <c r="L54" t="s">
        <v>310</v>
      </c>
      <c r="M54" t="s">
        <v>313</v>
      </c>
    </row>
    <row r="55" spans="1:14" x14ac:dyDescent="0.2">
      <c r="A55" t="s">
        <v>7</v>
      </c>
      <c r="B55" t="s">
        <v>16</v>
      </c>
      <c r="C55" t="str">
        <f t="shared" si="2"/>
        <v>Attaché principal7</v>
      </c>
      <c r="D55" t="s">
        <v>11</v>
      </c>
      <c r="E55">
        <v>7</v>
      </c>
      <c r="G55">
        <v>735</v>
      </c>
      <c r="H55" t="s">
        <v>15</v>
      </c>
    </row>
    <row r="56" spans="1:14" x14ac:dyDescent="0.2">
      <c r="A56" t="s">
        <v>7</v>
      </c>
      <c r="B56" t="s">
        <v>16</v>
      </c>
      <c r="C56" t="str">
        <f t="shared" si="2"/>
        <v>Attaché principal8</v>
      </c>
      <c r="D56" t="s">
        <v>11</v>
      </c>
      <c r="E56">
        <v>8</v>
      </c>
      <c r="G56">
        <v>773</v>
      </c>
      <c r="H56" t="s">
        <v>15</v>
      </c>
    </row>
    <row r="57" spans="1:14" x14ac:dyDescent="0.2">
      <c r="A57" t="s">
        <v>7</v>
      </c>
      <c r="B57" t="s">
        <v>16</v>
      </c>
      <c r="C57" t="str">
        <f t="shared" si="2"/>
        <v>Attaché principal9</v>
      </c>
      <c r="D57" t="s">
        <v>11</v>
      </c>
      <c r="E57">
        <v>9</v>
      </c>
      <c r="G57">
        <v>811</v>
      </c>
      <c r="H57" t="s">
        <v>15</v>
      </c>
      <c r="L57" s="1" t="s">
        <v>303</v>
      </c>
      <c r="M57" s="1"/>
    </row>
    <row r="58" spans="1:14" x14ac:dyDescent="0.2">
      <c r="A58" t="s">
        <v>7</v>
      </c>
      <c r="B58" t="s">
        <v>16</v>
      </c>
      <c r="C58" t="str">
        <f t="shared" si="2"/>
        <v>Attaché principal10</v>
      </c>
      <c r="D58" t="s">
        <v>11</v>
      </c>
      <c r="E58">
        <v>10</v>
      </c>
      <c r="G58">
        <v>826</v>
      </c>
      <c r="H58" t="s">
        <v>15</v>
      </c>
    </row>
    <row r="59" spans="1:14" x14ac:dyDescent="0.2">
      <c r="A59" t="s">
        <v>7</v>
      </c>
      <c r="B59" t="s">
        <v>16</v>
      </c>
      <c r="C59" t="str">
        <f t="shared" si="2"/>
        <v>Attaché hors classe1</v>
      </c>
      <c r="D59" t="s">
        <v>17</v>
      </c>
      <c r="E59">
        <v>1</v>
      </c>
      <c r="G59">
        <v>660</v>
      </c>
      <c r="H59" t="s">
        <v>15</v>
      </c>
      <c r="L59" s="1" t="s">
        <v>314</v>
      </c>
    </row>
    <row r="60" spans="1:14" x14ac:dyDescent="0.2">
      <c r="A60" t="s">
        <v>7</v>
      </c>
      <c r="B60" t="s">
        <v>16</v>
      </c>
      <c r="C60" t="str">
        <f t="shared" si="2"/>
        <v>Attaché hors classe2</v>
      </c>
      <c r="D60" t="s">
        <v>17</v>
      </c>
      <c r="E60">
        <v>2</v>
      </c>
      <c r="G60">
        <v>700</v>
      </c>
      <c r="H60" t="s">
        <v>15</v>
      </c>
      <c r="L60" s="1" t="s">
        <v>315</v>
      </c>
    </row>
    <row r="61" spans="1:14" x14ac:dyDescent="0.2">
      <c r="A61" t="s">
        <v>7</v>
      </c>
      <c r="B61" t="s">
        <v>16</v>
      </c>
      <c r="C61" t="str">
        <f t="shared" si="2"/>
        <v>Attaché hors classe3</v>
      </c>
      <c r="D61" t="s">
        <v>17</v>
      </c>
      <c r="E61">
        <v>3</v>
      </c>
      <c r="G61">
        <v>735</v>
      </c>
      <c r="H61" t="s">
        <v>15</v>
      </c>
      <c r="L61" s="1" t="s">
        <v>316</v>
      </c>
    </row>
    <row r="62" spans="1:14" x14ac:dyDescent="0.2">
      <c r="A62" t="s">
        <v>7</v>
      </c>
      <c r="B62" t="s">
        <v>16</v>
      </c>
      <c r="C62" t="str">
        <f t="shared" si="2"/>
        <v>Attaché hors classe4</v>
      </c>
      <c r="D62" t="s">
        <v>17</v>
      </c>
      <c r="E62">
        <v>4</v>
      </c>
      <c r="G62">
        <v>773</v>
      </c>
      <c r="H62" t="s">
        <v>15</v>
      </c>
    </row>
    <row r="63" spans="1:14" x14ac:dyDescent="0.2">
      <c r="A63" t="s">
        <v>7</v>
      </c>
      <c r="B63" t="s">
        <v>16</v>
      </c>
      <c r="C63" t="str">
        <f t="shared" si="2"/>
        <v>Attaché hors classe5</v>
      </c>
      <c r="D63" t="s">
        <v>17</v>
      </c>
      <c r="E63">
        <v>5</v>
      </c>
      <c r="G63">
        <v>811</v>
      </c>
      <c r="H63" t="s">
        <v>15</v>
      </c>
      <c r="L63" s="1" t="s">
        <v>317</v>
      </c>
      <c r="M63" s="1" t="s">
        <v>318</v>
      </c>
      <c r="N63" s="1" t="s">
        <v>319</v>
      </c>
    </row>
    <row r="64" spans="1:14" x14ac:dyDescent="0.2">
      <c r="A64" t="s">
        <v>7</v>
      </c>
      <c r="B64" t="s">
        <v>16</v>
      </c>
      <c r="C64" t="str">
        <f t="shared" si="2"/>
        <v>Attaché hors classe6</v>
      </c>
      <c r="D64" t="s">
        <v>17</v>
      </c>
      <c r="E64">
        <v>6</v>
      </c>
      <c r="G64">
        <v>835</v>
      </c>
      <c r="H64" t="s">
        <v>15</v>
      </c>
      <c r="L64" s="1"/>
      <c r="M64" s="1"/>
      <c r="N64" s="1"/>
    </row>
    <row r="65" spans="1:16" x14ac:dyDescent="0.2">
      <c r="A65" t="s">
        <v>7</v>
      </c>
      <c r="B65" t="s">
        <v>16</v>
      </c>
      <c r="C65" t="str">
        <f t="shared" si="2"/>
        <v>Attaché hors classeHEA1</v>
      </c>
      <c r="D65" t="s">
        <v>17</v>
      </c>
      <c r="E65" t="s">
        <v>12</v>
      </c>
      <c r="G65">
        <v>895</v>
      </c>
      <c r="H65" t="s">
        <v>15</v>
      </c>
      <c r="L65" t="s">
        <v>116</v>
      </c>
      <c r="M65" t="s">
        <v>179</v>
      </c>
      <c r="N65" t="s">
        <v>322</v>
      </c>
    </row>
    <row r="66" spans="1:16" x14ac:dyDescent="0.2">
      <c r="A66" t="s">
        <v>7</v>
      </c>
      <c r="B66" t="s">
        <v>16</v>
      </c>
      <c r="C66" t="str">
        <f t="shared" ref="C66:C78" si="3">D66&amp;E66</f>
        <v>Attaché hors classeHEA2</v>
      </c>
      <c r="D66" t="s">
        <v>17</v>
      </c>
      <c r="E66" t="s">
        <v>13</v>
      </c>
      <c r="G66">
        <v>930</v>
      </c>
      <c r="H66" t="s">
        <v>15</v>
      </c>
      <c r="L66" t="s">
        <v>114</v>
      </c>
      <c r="M66" t="s">
        <v>320</v>
      </c>
      <c r="N66" t="s">
        <v>323</v>
      </c>
    </row>
    <row r="67" spans="1:16" x14ac:dyDescent="0.2">
      <c r="A67" t="s">
        <v>7</v>
      </c>
      <c r="B67" t="s">
        <v>16</v>
      </c>
      <c r="C67" t="str">
        <f t="shared" si="3"/>
        <v>Attaché hors classeHEA3</v>
      </c>
      <c r="D67" t="s">
        <v>17</v>
      </c>
      <c r="E67" t="s">
        <v>14</v>
      </c>
      <c r="G67">
        <v>977</v>
      </c>
      <c r="H67" t="s">
        <v>15</v>
      </c>
      <c r="M67" t="s">
        <v>321</v>
      </c>
      <c r="N67" t="s">
        <v>324</v>
      </c>
    </row>
    <row r="68" spans="1:16" x14ac:dyDescent="0.2">
      <c r="A68" t="s">
        <v>7</v>
      </c>
      <c r="B68" s="1" t="s">
        <v>75</v>
      </c>
      <c r="C68" t="str">
        <f t="shared" si="3"/>
        <v>Adjoint Administratif1</v>
      </c>
      <c r="D68" t="s">
        <v>70</v>
      </c>
      <c r="E68">
        <v>1</v>
      </c>
      <c r="G68">
        <v>366</v>
      </c>
      <c r="H68" s="1" t="s">
        <v>74</v>
      </c>
    </row>
    <row r="69" spans="1:16" x14ac:dyDescent="0.2">
      <c r="A69" t="s">
        <v>7</v>
      </c>
      <c r="B69" s="1" t="s">
        <v>75</v>
      </c>
      <c r="C69" t="str">
        <f t="shared" si="3"/>
        <v>Adjoint Administratif2</v>
      </c>
      <c r="D69" t="s">
        <v>70</v>
      </c>
      <c r="E69">
        <v>2</v>
      </c>
      <c r="G69">
        <v>367</v>
      </c>
      <c r="H69" s="1" t="s">
        <v>74</v>
      </c>
    </row>
    <row r="70" spans="1:16" x14ac:dyDescent="0.2">
      <c r="A70" t="s">
        <v>7</v>
      </c>
      <c r="B70" s="1" t="s">
        <v>75</v>
      </c>
      <c r="C70" t="str">
        <f t="shared" si="3"/>
        <v>Adjoint Administratif3</v>
      </c>
      <c r="D70" t="s">
        <v>70</v>
      </c>
      <c r="E70">
        <v>3</v>
      </c>
      <c r="G70">
        <v>368</v>
      </c>
      <c r="H70" s="1" t="s">
        <v>74</v>
      </c>
      <c r="L70" s="1" t="s">
        <v>304</v>
      </c>
    </row>
    <row r="71" spans="1:16" x14ac:dyDescent="0.2">
      <c r="A71" t="s">
        <v>7</v>
      </c>
      <c r="B71" s="1" t="s">
        <v>75</v>
      </c>
      <c r="C71" t="str">
        <f t="shared" si="3"/>
        <v>Adjoint Administratif4</v>
      </c>
      <c r="D71" t="s">
        <v>70</v>
      </c>
      <c r="E71">
        <v>4</v>
      </c>
      <c r="G71">
        <v>369</v>
      </c>
      <c r="H71" s="1" t="s">
        <v>74</v>
      </c>
    </row>
    <row r="72" spans="1:16" x14ac:dyDescent="0.2">
      <c r="A72" t="s">
        <v>7</v>
      </c>
      <c r="B72" s="1" t="s">
        <v>75</v>
      </c>
      <c r="C72" t="str">
        <f t="shared" si="3"/>
        <v>Adjoint Administratif5</v>
      </c>
      <c r="D72" t="s">
        <v>70</v>
      </c>
      <c r="E72">
        <v>5</v>
      </c>
      <c r="G72">
        <v>370</v>
      </c>
      <c r="H72" s="1" t="s">
        <v>74</v>
      </c>
      <c r="L72" s="1" t="s">
        <v>325</v>
      </c>
    </row>
    <row r="73" spans="1:16" x14ac:dyDescent="0.2">
      <c r="A73" t="s">
        <v>7</v>
      </c>
      <c r="B73" s="1" t="s">
        <v>75</v>
      </c>
      <c r="C73" t="str">
        <f t="shared" si="3"/>
        <v>Adjoint Administratif6</v>
      </c>
      <c r="D73" t="s">
        <v>70</v>
      </c>
      <c r="E73">
        <v>6</v>
      </c>
      <c r="G73">
        <v>371</v>
      </c>
      <c r="H73" s="1" t="s">
        <v>74</v>
      </c>
      <c r="L73" s="1" t="s">
        <v>326</v>
      </c>
    </row>
    <row r="74" spans="1:16" x14ac:dyDescent="0.2">
      <c r="A74" t="s">
        <v>7</v>
      </c>
      <c r="B74" s="1" t="s">
        <v>75</v>
      </c>
      <c r="C74" t="str">
        <f t="shared" si="3"/>
        <v>Adjoint Administratif7</v>
      </c>
      <c r="D74" t="s">
        <v>70</v>
      </c>
      <c r="E74">
        <v>7</v>
      </c>
      <c r="G74">
        <v>372</v>
      </c>
      <c r="H74" s="1" t="s">
        <v>74</v>
      </c>
      <c r="L74" s="1" t="s">
        <v>327</v>
      </c>
    </row>
    <row r="75" spans="1:16" x14ac:dyDescent="0.2">
      <c r="A75" t="s">
        <v>7</v>
      </c>
      <c r="B75" s="1" t="s">
        <v>75</v>
      </c>
      <c r="C75" t="str">
        <f t="shared" si="3"/>
        <v>Adjoint Administratif8</v>
      </c>
      <c r="D75" t="s">
        <v>70</v>
      </c>
      <c r="E75">
        <v>8</v>
      </c>
      <c r="G75">
        <v>373</v>
      </c>
      <c r="H75" s="1" t="s">
        <v>74</v>
      </c>
      <c r="L75" s="1" t="s">
        <v>328</v>
      </c>
    </row>
    <row r="76" spans="1:16" x14ac:dyDescent="0.2">
      <c r="A76" t="s">
        <v>7</v>
      </c>
      <c r="B76" s="1" t="s">
        <v>75</v>
      </c>
      <c r="C76" t="str">
        <f t="shared" si="3"/>
        <v>Adjoint Administratif9</v>
      </c>
      <c r="D76" t="s">
        <v>70</v>
      </c>
      <c r="E76">
        <v>9</v>
      </c>
      <c r="G76">
        <v>376</v>
      </c>
      <c r="H76" s="1" t="s">
        <v>74</v>
      </c>
      <c r="L76" t="s">
        <v>329</v>
      </c>
    </row>
    <row r="77" spans="1:16" x14ac:dyDescent="0.2">
      <c r="A77" t="s">
        <v>7</v>
      </c>
      <c r="B77" s="1" t="s">
        <v>75</v>
      </c>
      <c r="C77" t="str">
        <f t="shared" si="3"/>
        <v>Adjoint Administratif10</v>
      </c>
      <c r="D77" t="s">
        <v>70</v>
      </c>
      <c r="E77">
        <v>10</v>
      </c>
      <c r="G77">
        <v>377</v>
      </c>
      <c r="H77" s="1" t="s">
        <v>74</v>
      </c>
    </row>
    <row r="78" spans="1:16" x14ac:dyDescent="0.2">
      <c r="A78" t="s">
        <v>7</v>
      </c>
      <c r="B78" s="1" t="s">
        <v>75</v>
      </c>
      <c r="C78" t="str">
        <f t="shared" si="3"/>
        <v>Adjoint Administratif11</v>
      </c>
      <c r="D78" t="s">
        <v>70</v>
      </c>
      <c r="E78">
        <v>11</v>
      </c>
      <c r="G78">
        <v>387</v>
      </c>
      <c r="H78" s="1" t="s">
        <v>74</v>
      </c>
      <c r="L78" s="1" t="s">
        <v>330</v>
      </c>
      <c r="M78" s="1" t="s">
        <v>331</v>
      </c>
      <c r="N78" s="1" t="s">
        <v>332</v>
      </c>
      <c r="O78" t="s">
        <v>333</v>
      </c>
      <c r="P78" t="s">
        <v>334</v>
      </c>
    </row>
    <row r="79" spans="1:16" x14ac:dyDescent="0.2">
      <c r="A79" t="s">
        <v>7</v>
      </c>
      <c r="B79" s="1" t="s">
        <v>75</v>
      </c>
      <c r="C79" t="str">
        <f t="shared" ref="C79:C101" si="4">D79&amp;E79</f>
        <v>Adjoint Administratif Principal 2° classe 1</v>
      </c>
      <c r="D79" t="s">
        <v>68</v>
      </c>
      <c r="E79">
        <v>1</v>
      </c>
      <c r="G79">
        <v>367</v>
      </c>
      <c r="H79" s="1" t="s">
        <v>74</v>
      </c>
      <c r="L79" s="1"/>
      <c r="M79" s="1"/>
      <c r="N79" s="1"/>
    </row>
    <row r="80" spans="1:16" x14ac:dyDescent="0.2">
      <c r="A80" t="s">
        <v>7</v>
      </c>
      <c r="B80" s="1" t="s">
        <v>75</v>
      </c>
      <c r="C80" t="str">
        <f t="shared" si="4"/>
        <v>Adjoint Administratif Principal 2° classe 2</v>
      </c>
      <c r="D80" t="s">
        <v>68</v>
      </c>
      <c r="E80">
        <v>2</v>
      </c>
      <c r="G80">
        <v>369</v>
      </c>
      <c r="H80" s="1" t="s">
        <v>74</v>
      </c>
      <c r="L80" t="s">
        <v>335</v>
      </c>
      <c r="M80" t="s">
        <v>137</v>
      </c>
      <c r="N80" t="s">
        <v>338</v>
      </c>
      <c r="O80" t="s">
        <v>340</v>
      </c>
      <c r="P80" t="s">
        <v>343</v>
      </c>
    </row>
    <row r="81" spans="1:16" x14ac:dyDescent="0.2">
      <c r="A81" t="s">
        <v>7</v>
      </c>
      <c r="B81" s="1" t="s">
        <v>75</v>
      </c>
      <c r="C81" t="str">
        <f t="shared" si="4"/>
        <v>Adjoint Administratif Principal 2° classe 3</v>
      </c>
      <c r="D81" t="s">
        <v>68</v>
      </c>
      <c r="E81">
        <v>3</v>
      </c>
      <c r="G81">
        <v>370</v>
      </c>
      <c r="H81" s="1" t="s">
        <v>74</v>
      </c>
      <c r="L81" t="s">
        <v>336</v>
      </c>
      <c r="M81" t="s">
        <v>337</v>
      </c>
      <c r="N81" t="s">
        <v>339</v>
      </c>
      <c r="O81" t="s">
        <v>341</v>
      </c>
      <c r="P81" t="s">
        <v>344</v>
      </c>
    </row>
    <row r="82" spans="1:16" x14ac:dyDescent="0.2">
      <c r="A82" t="s">
        <v>7</v>
      </c>
      <c r="B82" s="1" t="s">
        <v>75</v>
      </c>
      <c r="C82" t="str">
        <f t="shared" si="4"/>
        <v>Adjoint Administratif Principal 2° classe 4</v>
      </c>
      <c r="D82" t="s">
        <v>68</v>
      </c>
      <c r="E82">
        <v>4</v>
      </c>
      <c r="G82">
        <v>373</v>
      </c>
      <c r="H82" s="1" t="s">
        <v>74</v>
      </c>
      <c r="N82"/>
      <c r="O82" t="s">
        <v>342</v>
      </c>
      <c r="P82" t="s">
        <v>345</v>
      </c>
    </row>
    <row r="83" spans="1:16" x14ac:dyDescent="0.2">
      <c r="A83" t="s">
        <v>7</v>
      </c>
      <c r="B83" s="1" t="s">
        <v>75</v>
      </c>
      <c r="C83" t="str">
        <f t="shared" si="4"/>
        <v>Adjoint Administratif Principal 2° classe 5</v>
      </c>
      <c r="D83" t="s">
        <v>68</v>
      </c>
      <c r="E83">
        <v>5</v>
      </c>
      <c r="G83">
        <v>374</v>
      </c>
      <c r="H83" s="1" t="s">
        <v>74</v>
      </c>
    </row>
    <row r="84" spans="1:16" x14ac:dyDescent="0.2">
      <c r="A84" t="s">
        <v>7</v>
      </c>
      <c r="B84" s="1" t="s">
        <v>75</v>
      </c>
      <c r="C84" t="str">
        <f t="shared" si="4"/>
        <v>Adjoint Administratif Principal 2° classe 6</v>
      </c>
      <c r="D84" t="s">
        <v>68</v>
      </c>
      <c r="E84">
        <v>6</v>
      </c>
      <c r="G84">
        <v>376</v>
      </c>
      <c r="H84" s="1" t="s">
        <v>74</v>
      </c>
    </row>
    <row r="85" spans="1:16" x14ac:dyDescent="0.2">
      <c r="A85" t="s">
        <v>7</v>
      </c>
      <c r="B85" s="1" t="s">
        <v>75</v>
      </c>
      <c r="C85" t="str">
        <f t="shared" si="4"/>
        <v>Adjoint Administratif Principal 2° classe 7</v>
      </c>
      <c r="D85" t="s">
        <v>68</v>
      </c>
      <c r="E85">
        <v>7</v>
      </c>
      <c r="G85">
        <v>377</v>
      </c>
      <c r="H85" s="1" t="s">
        <v>74</v>
      </c>
      <c r="L85" s="1" t="s">
        <v>350</v>
      </c>
    </row>
    <row r="86" spans="1:16" x14ac:dyDescent="0.2">
      <c r="A86" t="s">
        <v>7</v>
      </c>
      <c r="B86" s="1" t="s">
        <v>75</v>
      </c>
      <c r="C86" t="str">
        <f t="shared" si="4"/>
        <v>Adjoint Administratif Principal 2° classe 8</v>
      </c>
      <c r="D86" t="s">
        <v>68</v>
      </c>
      <c r="E86">
        <v>8</v>
      </c>
      <c r="G86">
        <v>385</v>
      </c>
      <c r="H86" s="1" t="s">
        <v>74</v>
      </c>
    </row>
    <row r="87" spans="1:16" x14ac:dyDescent="0.2">
      <c r="A87" t="s">
        <v>7</v>
      </c>
      <c r="B87" s="1" t="s">
        <v>75</v>
      </c>
      <c r="C87" t="str">
        <f t="shared" si="4"/>
        <v>Adjoint Administratif Principal 2° classe 9</v>
      </c>
      <c r="D87" t="s">
        <v>68</v>
      </c>
      <c r="E87">
        <v>9</v>
      </c>
      <c r="G87">
        <v>397</v>
      </c>
      <c r="H87" s="1" t="s">
        <v>74</v>
      </c>
      <c r="L87" s="1" t="s">
        <v>353</v>
      </c>
    </row>
    <row r="88" spans="1:16" x14ac:dyDescent="0.2">
      <c r="A88" t="s">
        <v>7</v>
      </c>
      <c r="B88" s="1" t="s">
        <v>75</v>
      </c>
      <c r="C88" t="str">
        <f t="shared" si="4"/>
        <v>Adjoint Administratif Principal 2° classe 10</v>
      </c>
      <c r="D88" t="s">
        <v>68</v>
      </c>
      <c r="E88">
        <v>10</v>
      </c>
      <c r="G88">
        <v>409</v>
      </c>
      <c r="H88" s="1" t="s">
        <v>74</v>
      </c>
      <c r="L88" s="1" t="s">
        <v>354</v>
      </c>
    </row>
    <row r="89" spans="1:16" x14ac:dyDescent="0.2">
      <c r="A89" t="s">
        <v>7</v>
      </c>
      <c r="B89" s="1" t="s">
        <v>75</v>
      </c>
      <c r="C89" t="str">
        <f t="shared" si="4"/>
        <v>Adjoint Administratif Principal 2° classe 11</v>
      </c>
      <c r="D89" t="s">
        <v>68</v>
      </c>
      <c r="E89">
        <v>11</v>
      </c>
      <c r="G89">
        <v>417</v>
      </c>
      <c r="H89" s="1" t="s">
        <v>74</v>
      </c>
      <c r="L89" t="s">
        <v>355</v>
      </c>
    </row>
    <row r="90" spans="1:16" x14ac:dyDescent="0.2">
      <c r="A90" t="s">
        <v>7</v>
      </c>
      <c r="B90" s="1" t="s">
        <v>75</v>
      </c>
      <c r="C90" t="str">
        <f t="shared" si="4"/>
        <v>Adjoint Administratif Principal 2° classe 12</v>
      </c>
      <c r="D90" t="s">
        <v>68</v>
      </c>
      <c r="E90">
        <v>12</v>
      </c>
      <c r="G90">
        <v>425</v>
      </c>
      <c r="H90" s="1" t="s">
        <v>74</v>
      </c>
      <c r="L90" t="s">
        <v>364</v>
      </c>
    </row>
    <row r="91" spans="1:16" x14ac:dyDescent="0.2">
      <c r="A91" t="s">
        <v>7</v>
      </c>
      <c r="B91" s="1" t="s">
        <v>75</v>
      </c>
      <c r="C91" t="str">
        <f t="shared" si="4"/>
        <v>Adjoint Administratif Principal 1° classe 1</v>
      </c>
      <c r="D91" t="s">
        <v>69</v>
      </c>
      <c r="E91">
        <v>1</v>
      </c>
      <c r="G91">
        <v>373</v>
      </c>
      <c r="H91" s="1" t="s">
        <v>74</v>
      </c>
      <c r="L91" t="s">
        <v>357</v>
      </c>
    </row>
    <row r="92" spans="1:16" x14ac:dyDescent="0.2">
      <c r="A92" t="s">
        <v>7</v>
      </c>
      <c r="B92" s="1" t="s">
        <v>75</v>
      </c>
      <c r="C92" t="str">
        <f t="shared" si="4"/>
        <v>Adjoint Administratif Principal 1° classe 2</v>
      </c>
      <c r="D92" t="s">
        <v>69</v>
      </c>
      <c r="E92">
        <v>2</v>
      </c>
      <c r="G92">
        <v>375</v>
      </c>
      <c r="H92" s="1" t="s">
        <v>74</v>
      </c>
      <c r="L92" t="s">
        <v>356</v>
      </c>
    </row>
    <row r="93" spans="1:16" x14ac:dyDescent="0.2">
      <c r="A93" t="s">
        <v>7</v>
      </c>
      <c r="B93" s="1" t="s">
        <v>75</v>
      </c>
      <c r="C93" t="str">
        <f t="shared" si="4"/>
        <v>Adjoint Administratif Principal 1° classe 3</v>
      </c>
      <c r="D93" t="s">
        <v>69</v>
      </c>
      <c r="E93">
        <v>3</v>
      </c>
      <c r="G93">
        <v>376</v>
      </c>
      <c r="H93" s="1" t="s">
        <v>74</v>
      </c>
      <c r="L93" t="s">
        <v>358</v>
      </c>
    </row>
    <row r="94" spans="1:16" x14ac:dyDescent="0.2">
      <c r="A94" t="s">
        <v>7</v>
      </c>
      <c r="B94" s="1" t="s">
        <v>75</v>
      </c>
      <c r="C94" t="str">
        <f t="shared" si="4"/>
        <v>Adjoint Administratif Principal 1° classe 4</v>
      </c>
      <c r="D94" t="s">
        <v>69</v>
      </c>
      <c r="E94">
        <v>4</v>
      </c>
      <c r="G94">
        <v>385</v>
      </c>
      <c r="H94" s="1" t="s">
        <v>74</v>
      </c>
      <c r="L94" t="s">
        <v>359</v>
      </c>
    </row>
    <row r="95" spans="1:16" x14ac:dyDescent="0.2">
      <c r="A95" t="s">
        <v>7</v>
      </c>
      <c r="B95" s="1" t="s">
        <v>75</v>
      </c>
      <c r="C95" t="str">
        <f t="shared" si="4"/>
        <v>Adjoint Administratif Principal 1° classe 5</v>
      </c>
      <c r="D95" t="s">
        <v>69</v>
      </c>
      <c r="E95">
        <v>5</v>
      </c>
      <c r="G95">
        <v>398</v>
      </c>
      <c r="H95" s="1" t="s">
        <v>74</v>
      </c>
      <c r="L95" s="1" t="s">
        <v>351</v>
      </c>
    </row>
    <row r="96" spans="1:16" x14ac:dyDescent="0.2">
      <c r="A96" t="s">
        <v>7</v>
      </c>
      <c r="B96" s="1" t="s">
        <v>75</v>
      </c>
      <c r="C96" t="str">
        <f t="shared" si="4"/>
        <v>Adjoint Administratif Principal 1° classe 6</v>
      </c>
      <c r="D96" t="s">
        <v>69</v>
      </c>
      <c r="E96">
        <v>6</v>
      </c>
      <c r="G96">
        <v>408</v>
      </c>
      <c r="H96" s="1" t="s">
        <v>74</v>
      </c>
      <c r="L96" s="117" t="s">
        <v>352</v>
      </c>
    </row>
    <row r="97" spans="1:16" x14ac:dyDescent="0.2">
      <c r="A97" t="s">
        <v>7</v>
      </c>
      <c r="B97" s="1" t="s">
        <v>75</v>
      </c>
      <c r="C97" t="str">
        <f t="shared" si="4"/>
        <v>Adjoint Administratif Principal 1° classe 7</v>
      </c>
      <c r="D97" t="s">
        <v>69</v>
      </c>
      <c r="E97">
        <v>7</v>
      </c>
      <c r="G97">
        <v>420</v>
      </c>
      <c r="H97" s="1" t="s">
        <v>74</v>
      </c>
      <c r="L97" t="s">
        <v>360</v>
      </c>
    </row>
    <row r="98" spans="1:16" x14ac:dyDescent="0.2">
      <c r="A98" t="s">
        <v>7</v>
      </c>
      <c r="B98" s="1" t="s">
        <v>75</v>
      </c>
      <c r="C98" t="str">
        <f t="shared" si="4"/>
        <v>Adjoint Administratif Principal 1° classe 8</v>
      </c>
      <c r="D98" t="s">
        <v>69</v>
      </c>
      <c r="E98">
        <v>8</v>
      </c>
      <c r="G98">
        <v>435</v>
      </c>
      <c r="H98" s="1" t="s">
        <v>74</v>
      </c>
      <c r="L98" t="s">
        <v>363</v>
      </c>
    </row>
    <row r="99" spans="1:16" x14ac:dyDescent="0.2">
      <c r="A99" t="s">
        <v>7</v>
      </c>
      <c r="B99" s="1" t="s">
        <v>75</v>
      </c>
      <c r="C99" t="str">
        <f t="shared" si="4"/>
        <v>Adjoint Administratif Principal 1° classe 9</v>
      </c>
      <c r="D99" t="s">
        <v>69</v>
      </c>
      <c r="E99">
        <v>9</v>
      </c>
      <c r="G99">
        <v>455</v>
      </c>
      <c r="H99" s="1" t="s">
        <v>74</v>
      </c>
      <c r="L99" t="s">
        <v>362</v>
      </c>
    </row>
    <row r="100" spans="1:16" x14ac:dyDescent="0.2">
      <c r="A100" t="s">
        <v>7</v>
      </c>
      <c r="B100" s="1" t="s">
        <v>75</v>
      </c>
      <c r="C100" t="str">
        <f t="shared" si="4"/>
        <v>Adjoint Administratif Principal 1° classe 10</v>
      </c>
      <c r="D100" t="s">
        <v>69</v>
      </c>
      <c r="E100">
        <v>10</v>
      </c>
      <c r="G100">
        <v>478</v>
      </c>
      <c r="H100" s="1" t="s">
        <v>74</v>
      </c>
      <c r="L100" t="s">
        <v>361</v>
      </c>
    </row>
    <row r="101" spans="1:16" x14ac:dyDescent="0.2">
      <c r="A101" s="1" t="s">
        <v>19</v>
      </c>
      <c r="B101" s="1" t="s">
        <v>268</v>
      </c>
      <c r="C101" t="str">
        <f t="shared" si="4"/>
        <v>Ingénieur1</v>
      </c>
      <c r="D101" t="s">
        <v>88</v>
      </c>
      <c r="E101">
        <v>1</v>
      </c>
      <c r="G101">
        <v>395</v>
      </c>
      <c r="H101" s="1" t="s">
        <v>15</v>
      </c>
    </row>
    <row r="102" spans="1:16" x14ac:dyDescent="0.2">
      <c r="A102" s="1" t="s">
        <v>19</v>
      </c>
      <c r="B102" s="1" t="s">
        <v>268</v>
      </c>
      <c r="C102" t="str">
        <f t="shared" ref="C102:C128" si="5">D102&amp;E102</f>
        <v>Ingénieur2</v>
      </c>
      <c r="D102" t="s">
        <v>88</v>
      </c>
      <c r="E102">
        <v>2</v>
      </c>
      <c r="G102">
        <v>424</v>
      </c>
      <c r="H102" s="1" t="s">
        <v>15</v>
      </c>
    </row>
    <row r="103" spans="1:16" x14ac:dyDescent="0.2">
      <c r="A103" s="1" t="s">
        <v>19</v>
      </c>
      <c r="B103" s="1" t="s">
        <v>268</v>
      </c>
      <c r="C103" t="str">
        <f t="shared" si="5"/>
        <v>Ingénieur3</v>
      </c>
      <c r="D103" t="s">
        <v>88</v>
      </c>
      <c r="E103">
        <v>3</v>
      </c>
      <c r="G103">
        <v>450</v>
      </c>
      <c r="H103" s="1" t="s">
        <v>15</v>
      </c>
    </row>
    <row r="104" spans="1:16" x14ac:dyDescent="0.2">
      <c r="A104" s="1" t="s">
        <v>19</v>
      </c>
      <c r="B104" s="1" t="s">
        <v>268</v>
      </c>
      <c r="C104" t="str">
        <f t="shared" si="5"/>
        <v>Ingénieur4</v>
      </c>
      <c r="D104" t="s">
        <v>88</v>
      </c>
      <c r="E104">
        <v>4</v>
      </c>
      <c r="G104">
        <v>483</v>
      </c>
      <c r="H104" s="1" t="s">
        <v>15</v>
      </c>
      <c r="L104" s="1" t="s">
        <v>365</v>
      </c>
      <c r="M104" s="1" t="s">
        <v>366</v>
      </c>
      <c r="N104" s="1" t="s">
        <v>367</v>
      </c>
      <c r="O104" t="s">
        <v>368</v>
      </c>
      <c r="P104" t="s">
        <v>369</v>
      </c>
    </row>
    <row r="105" spans="1:16" x14ac:dyDescent="0.2">
      <c r="A105" s="1" t="s">
        <v>19</v>
      </c>
      <c r="B105" s="1" t="s">
        <v>268</v>
      </c>
      <c r="C105" t="str">
        <f t="shared" si="5"/>
        <v>Ingénieur5</v>
      </c>
      <c r="D105" t="s">
        <v>88</v>
      </c>
      <c r="E105">
        <v>5</v>
      </c>
      <c r="G105">
        <v>518</v>
      </c>
      <c r="H105" s="1" t="s">
        <v>15</v>
      </c>
      <c r="L105" s="1"/>
      <c r="M105" s="1"/>
      <c r="N105" s="1"/>
    </row>
    <row r="106" spans="1:16" x14ac:dyDescent="0.2">
      <c r="A106" s="1" t="s">
        <v>19</v>
      </c>
      <c r="B106" s="1" t="s">
        <v>268</v>
      </c>
      <c r="C106" t="str">
        <f t="shared" si="5"/>
        <v>Ingénieur6</v>
      </c>
      <c r="D106" t="s">
        <v>88</v>
      </c>
      <c r="E106">
        <v>6</v>
      </c>
      <c r="G106">
        <v>545</v>
      </c>
      <c r="H106" s="1" t="s">
        <v>15</v>
      </c>
      <c r="L106" t="s">
        <v>379</v>
      </c>
      <c r="M106" t="s">
        <v>382</v>
      </c>
      <c r="N106" t="s">
        <v>163</v>
      </c>
      <c r="O106" t="s">
        <v>385</v>
      </c>
      <c r="P106" t="s">
        <v>387</v>
      </c>
    </row>
    <row r="107" spans="1:16" x14ac:dyDescent="0.2">
      <c r="A107" s="1" t="s">
        <v>19</v>
      </c>
      <c r="B107" s="1" t="s">
        <v>268</v>
      </c>
      <c r="C107" t="str">
        <f t="shared" si="5"/>
        <v>Ingénieur7</v>
      </c>
      <c r="D107" t="s">
        <v>88</v>
      </c>
      <c r="E107">
        <v>7</v>
      </c>
      <c r="G107">
        <v>583</v>
      </c>
      <c r="H107" s="1" t="s">
        <v>15</v>
      </c>
      <c r="L107" t="s">
        <v>380</v>
      </c>
      <c r="M107" t="s">
        <v>383</v>
      </c>
      <c r="N107" t="s">
        <v>384</v>
      </c>
      <c r="O107" t="s">
        <v>386</v>
      </c>
      <c r="P107" t="s">
        <v>388</v>
      </c>
    </row>
    <row r="108" spans="1:16" x14ac:dyDescent="0.2">
      <c r="A108" s="1" t="s">
        <v>19</v>
      </c>
      <c r="B108" s="1" t="s">
        <v>268</v>
      </c>
      <c r="C108" t="str">
        <f t="shared" si="5"/>
        <v>Ingénieur8</v>
      </c>
      <c r="D108" t="s">
        <v>88</v>
      </c>
      <c r="E108">
        <v>8</v>
      </c>
      <c r="G108">
        <v>615</v>
      </c>
      <c r="H108" s="1" t="s">
        <v>15</v>
      </c>
      <c r="L108" t="s">
        <v>381</v>
      </c>
      <c r="N108"/>
    </row>
    <row r="109" spans="1:16" x14ac:dyDescent="0.2">
      <c r="A109" s="1" t="s">
        <v>19</v>
      </c>
      <c r="B109" s="1" t="s">
        <v>268</v>
      </c>
      <c r="C109" t="str">
        <f t="shared" si="5"/>
        <v>Ingénieur9</v>
      </c>
      <c r="D109" t="s">
        <v>88</v>
      </c>
      <c r="E109">
        <v>9</v>
      </c>
      <c r="G109">
        <v>642</v>
      </c>
      <c r="H109" s="1" t="s">
        <v>15</v>
      </c>
    </row>
    <row r="110" spans="1:16" x14ac:dyDescent="0.2">
      <c r="A110" s="1" t="s">
        <v>19</v>
      </c>
      <c r="B110" s="1" t="s">
        <v>268</v>
      </c>
      <c r="C110" t="str">
        <f t="shared" si="5"/>
        <v>Ingénieur10</v>
      </c>
      <c r="D110" t="s">
        <v>88</v>
      </c>
      <c r="E110">
        <v>10</v>
      </c>
      <c r="G110">
        <v>678</v>
      </c>
      <c r="H110" s="1" t="s">
        <v>15</v>
      </c>
      <c r="L110" t="s">
        <v>370</v>
      </c>
      <c r="M110" s="13" t="s">
        <v>371</v>
      </c>
      <c r="N110" t="s">
        <v>372</v>
      </c>
      <c r="O110" t="s">
        <v>373</v>
      </c>
      <c r="P110" t="s">
        <v>376</v>
      </c>
    </row>
    <row r="111" spans="1:16" x14ac:dyDescent="0.2">
      <c r="A111" s="1" t="s">
        <v>19</v>
      </c>
      <c r="B111" s="1" t="s">
        <v>268</v>
      </c>
      <c r="C111" t="str">
        <f t="shared" si="5"/>
        <v>Ingénieur principal1</v>
      </c>
      <c r="D111" t="s">
        <v>269</v>
      </c>
      <c r="E111">
        <v>1</v>
      </c>
      <c r="G111">
        <v>524</v>
      </c>
      <c r="H111" s="1" t="s">
        <v>15</v>
      </c>
      <c r="M111" s="13"/>
      <c r="N111"/>
    </row>
    <row r="112" spans="1:16" x14ac:dyDescent="0.2">
      <c r="A112" s="1" t="s">
        <v>19</v>
      </c>
      <c r="B112" s="1" t="s">
        <v>268</v>
      </c>
      <c r="C112" t="str">
        <f t="shared" si="5"/>
        <v>Ingénieur principal2</v>
      </c>
      <c r="D112" t="s">
        <v>269</v>
      </c>
      <c r="E112">
        <v>2</v>
      </c>
      <c r="G112">
        <v>560</v>
      </c>
      <c r="H112" s="1" t="s">
        <v>15</v>
      </c>
      <c r="L112" t="s">
        <v>390</v>
      </c>
      <c r="M112" s="13" t="s">
        <v>392</v>
      </c>
      <c r="N112" t="s">
        <v>394</v>
      </c>
      <c r="O112" t="s">
        <v>410</v>
      </c>
      <c r="P112" t="s">
        <v>400</v>
      </c>
    </row>
    <row r="113" spans="1:16" x14ac:dyDescent="0.2">
      <c r="A113" s="1" t="s">
        <v>19</v>
      </c>
      <c r="B113" s="1" t="s">
        <v>268</v>
      </c>
      <c r="C113" t="str">
        <f t="shared" si="5"/>
        <v>Ingénieur principal3</v>
      </c>
      <c r="D113" t="s">
        <v>269</v>
      </c>
      <c r="E113">
        <v>3</v>
      </c>
      <c r="G113">
        <v>602</v>
      </c>
      <c r="H113" s="1" t="s">
        <v>15</v>
      </c>
      <c r="L113" t="s">
        <v>389</v>
      </c>
      <c r="M113" s="13" t="s">
        <v>391</v>
      </c>
      <c r="N113" t="s">
        <v>393</v>
      </c>
      <c r="O113" t="s">
        <v>411</v>
      </c>
      <c r="P113" t="s">
        <v>399</v>
      </c>
    </row>
    <row r="114" spans="1:16" x14ac:dyDescent="0.2">
      <c r="A114" s="1" t="s">
        <v>19</v>
      </c>
      <c r="B114" s="1" t="s">
        <v>268</v>
      </c>
      <c r="C114" t="str">
        <f t="shared" si="5"/>
        <v>Ingénieur principal4</v>
      </c>
      <c r="D114" t="s">
        <v>269</v>
      </c>
      <c r="E114">
        <v>4</v>
      </c>
      <c r="G114">
        <v>655</v>
      </c>
      <c r="H114" s="1" t="s">
        <v>15</v>
      </c>
      <c r="M114" s="13"/>
      <c r="N114"/>
    </row>
    <row r="115" spans="1:16" x14ac:dyDescent="0.2">
      <c r="A115" s="1" t="s">
        <v>19</v>
      </c>
      <c r="B115" s="1" t="s">
        <v>268</v>
      </c>
      <c r="C115" t="str">
        <f t="shared" si="5"/>
        <v>Ingénieur principal5</v>
      </c>
      <c r="D115" t="s">
        <v>269</v>
      </c>
      <c r="E115">
        <v>5</v>
      </c>
      <c r="G115">
        <v>690</v>
      </c>
      <c r="H115" s="1" t="s">
        <v>15</v>
      </c>
      <c r="L115" t="s">
        <v>374</v>
      </c>
      <c r="M115" t="s">
        <v>375</v>
      </c>
      <c r="N115" t="s">
        <v>377</v>
      </c>
      <c r="O115" t="s">
        <v>378</v>
      </c>
    </row>
    <row r="116" spans="1:16" x14ac:dyDescent="0.2">
      <c r="A116" s="1" t="s">
        <v>19</v>
      </c>
      <c r="B116" s="1" t="s">
        <v>268</v>
      </c>
      <c r="C116" t="str">
        <f t="shared" si="5"/>
        <v>Ingénieur principal6</v>
      </c>
      <c r="D116" t="s">
        <v>269</v>
      </c>
      <c r="E116">
        <v>6</v>
      </c>
      <c r="G116">
        <v>735</v>
      </c>
      <c r="H116" s="1" t="s">
        <v>15</v>
      </c>
      <c r="N116"/>
    </row>
    <row r="117" spans="1:16" x14ac:dyDescent="0.2">
      <c r="A117" s="1" t="s">
        <v>19</v>
      </c>
      <c r="B117" s="1" t="s">
        <v>268</v>
      </c>
      <c r="C117" t="str">
        <f t="shared" si="5"/>
        <v>Ingénieur principal7</v>
      </c>
      <c r="D117" t="s">
        <v>269</v>
      </c>
      <c r="E117">
        <v>7</v>
      </c>
      <c r="G117">
        <v>773</v>
      </c>
      <c r="H117" s="1" t="s">
        <v>15</v>
      </c>
      <c r="L117" t="s">
        <v>396</v>
      </c>
      <c r="M117" t="s">
        <v>398</v>
      </c>
      <c r="N117" s="1" t="s">
        <v>404</v>
      </c>
      <c r="O117" t="s">
        <v>401</v>
      </c>
    </row>
    <row r="118" spans="1:16" x14ac:dyDescent="0.2">
      <c r="A118" s="1" t="s">
        <v>19</v>
      </c>
      <c r="B118" s="1" t="s">
        <v>268</v>
      </c>
      <c r="C118" t="str">
        <f t="shared" si="5"/>
        <v>Ingénieur principal8</v>
      </c>
      <c r="D118" t="s">
        <v>269</v>
      </c>
      <c r="E118">
        <v>8</v>
      </c>
      <c r="G118">
        <v>811</v>
      </c>
      <c r="H118" s="1" t="s">
        <v>15</v>
      </c>
      <c r="L118" t="s">
        <v>395</v>
      </c>
      <c r="M118" t="s">
        <v>397</v>
      </c>
      <c r="N118" s="1" t="s">
        <v>405</v>
      </c>
      <c r="O118" s="1" t="s">
        <v>402</v>
      </c>
    </row>
    <row r="119" spans="1:16" x14ac:dyDescent="0.2">
      <c r="A119" s="1" t="s">
        <v>19</v>
      </c>
      <c r="B119" s="1" t="s">
        <v>268</v>
      </c>
      <c r="C119" t="str">
        <f t="shared" si="5"/>
        <v>Ingénieur principal9</v>
      </c>
      <c r="D119" t="s">
        <v>269</v>
      </c>
      <c r="E119">
        <v>9</v>
      </c>
      <c r="G119">
        <v>826</v>
      </c>
      <c r="H119" s="1" t="s">
        <v>15</v>
      </c>
      <c r="N119"/>
      <c r="O119" s="1" t="s">
        <v>403</v>
      </c>
    </row>
    <row r="120" spans="1:16" x14ac:dyDescent="0.2">
      <c r="A120" s="1" t="s">
        <v>19</v>
      </c>
      <c r="B120" s="1" t="s">
        <v>268</v>
      </c>
      <c r="C120" t="str">
        <f t="shared" si="5"/>
        <v>Ingénieur hors classe1</v>
      </c>
      <c r="D120" t="s">
        <v>270</v>
      </c>
      <c r="E120">
        <v>1</v>
      </c>
      <c r="G120">
        <v>700</v>
      </c>
      <c r="H120" s="1" t="s">
        <v>15</v>
      </c>
    </row>
    <row r="121" spans="1:16" x14ac:dyDescent="0.2">
      <c r="A121" s="1" t="s">
        <v>19</v>
      </c>
      <c r="B121" s="1" t="s">
        <v>268</v>
      </c>
      <c r="C121" t="str">
        <f t="shared" si="5"/>
        <v>Ingénieur hors classe2</v>
      </c>
      <c r="D121" t="s">
        <v>270</v>
      </c>
      <c r="E121">
        <v>2</v>
      </c>
      <c r="G121">
        <v>735</v>
      </c>
      <c r="H121" s="1" t="s">
        <v>15</v>
      </c>
    </row>
    <row r="122" spans="1:16" x14ac:dyDescent="0.2">
      <c r="A122" s="1" t="s">
        <v>19</v>
      </c>
      <c r="B122" s="1" t="s">
        <v>268</v>
      </c>
      <c r="C122" t="str">
        <f t="shared" si="5"/>
        <v>Ingénieur hors classe3</v>
      </c>
      <c r="D122" t="s">
        <v>270</v>
      </c>
      <c r="E122">
        <v>3</v>
      </c>
      <c r="G122">
        <v>773</v>
      </c>
      <c r="H122" s="1" t="s">
        <v>15</v>
      </c>
    </row>
    <row r="123" spans="1:16" x14ac:dyDescent="0.2">
      <c r="A123" s="1" t="s">
        <v>19</v>
      </c>
      <c r="B123" s="1" t="s">
        <v>268</v>
      </c>
      <c r="C123" t="str">
        <f t="shared" si="5"/>
        <v>Ingénieur hors classe4</v>
      </c>
      <c r="D123" t="s">
        <v>270</v>
      </c>
      <c r="E123">
        <v>4</v>
      </c>
      <c r="G123">
        <v>811</v>
      </c>
      <c r="H123" s="1" t="s">
        <v>15</v>
      </c>
    </row>
    <row r="124" spans="1:16" x14ac:dyDescent="0.2">
      <c r="A124" s="1" t="s">
        <v>19</v>
      </c>
      <c r="B124" s="1" t="s">
        <v>268</v>
      </c>
      <c r="C124" t="str">
        <f t="shared" si="5"/>
        <v>Ingénieur hors classe5</v>
      </c>
      <c r="D124" t="s">
        <v>270</v>
      </c>
      <c r="E124">
        <v>5</v>
      </c>
      <c r="G124">
        <v>835</v>
      </c>
      <c r="H124" s="1" t="s">
        <v>15</v>
      </c>
    </row>
    <row r="125" spans="1:16" x14ac:dyDescent="0.2">
      <c r="A125" s="1" t="s">
        <v>19</v>
      </c>
      <c r="B125" s="1" t="s">
        <v>268</v>
      </c>
      <c r="C125" t="str">
        <f t="shared" si="5"/>
        <v>Ingénieur hors classeHEA1</v>
      </c>
      <c r="D125" t="s">
        <v>270</v>
      </c>
      <c r="E125" t="s">
        <v>12</v>
      </c>
      <c r="G125">
        <v>895</v>
      </c>
      <c r="H125" s="1" t="s">
        <v>15</v>
      </c>
    </row>
    <row r="126" spans="1:16" x14ac:dyDescent="0.2">
      <c r="A126" s="1" t="s">
        <v>19</v>
      </c>
      <c r="B126" s="1" t="s">
        <v>268</v>
      </c>
      <c r="C126" t="str">
        <f t="shared" si="5"/>
        <v>Ingénieur hors classeHEA2</v>
      </c>
      <c r="D126" t="s">
        <v>270</v>
      </c>
      <c r="E126" t="s">
        <v>13</v>
      </c>
      <c r="G126">
        <v>930</v>
      </c>
      <c r="H126" s="1" t="s">
        <v>15</v>
      </c>
    </row>
    <row r="127" spans="1:16" x14ac:dyDescent="0.2">
      <c r="A127" s="1" t="s">
        <v>19</v>
      </c>
      <c r="B127" s="1" t="s">
        <v>268</v>
      </c>
      <c r="C127" t="str">
        <f t="shared" si="5"/>
        <v>Ingénieur hors classeHEA3</v>
      </c>
      <c r="D127" t="s">
        <v>270</v>
      </c>
      <c r="E127" t="s">
        <v>14</v>
      </c>
      <c r="G127">
        <v>977</v>
      </c>
      <c r="H127" s="1" t="s">
        <v>15</v>
      </c>
    </row>
    <row r="128" spans="1:16" x14ac:dyDescent="0.2">
      <c r="A128" s="1" t="s">
        <v>19</v>
      </c>
      <c r="B128" t="s">
        <v>280</v>
      </c>
      <c r="C128" t="str">
        <f t="shared" si="5"/>
        <v>Technicien1</v>
      </c>
      <c r="D128" t="s">
        <v>174</v>
      </c>
      <c r="E128">
        <v>1</v>
      </c>
      <c r="G128">
        <v>373</v>
      </c>
      <c r="H128" t="s">
        <v>8</v>
      </c>
    </row>
    <row r="129" spans="1:8" x14ac:dyDescent="0.2">
      <c r="A129" s="1" t="s">
        <v>19</v>
      </c>
      <c r="B129" t="s">
        <v>280</v>
      </c>
      <c r="C129" t="str">
        <f t="shared" ref="C129:C185" si="6">D129&amp;E129</f>
        <v>Technicien2</v>
      </c>
      <c r="D129" t="s">
        <v>174</v>
      </c>
      <c r="E129">
        <v>2</v>
      </c>
      <c r="G129">
        <v>374</v>
      </c>
      <c r="H129" t="s">
        <v>8</v>
      </c>
    </row>
    <row r="130" spans="1:8" x14ac:dyDescent="0.2">
      <c r="A130" s="1" t="s">
        <v>19</v>
      </c>
      <c r="B130" t="s">
        <v>280</v>
      </c>
      <c r="C130" t="str">
        <f t="shared" si="6"/>
        <v>Technicien3</v>
      </c>
      <c r="D130" t="s">
        <v>174</v>
      </c>
      <c r="E130">
        <v>3</v>
      </c>
      <c r="G130">
        <v>375</v>
      </c>
      <c r="H130" t="s">
        <v>8</v>
      </c>
    </row>
    <row r="131" spans="1:8" x14ac:dyDescent="0.2">
      <c r="A131" s="1" t="s">
        <v>19</v>
      </c>
      <c r="B131" t="s">
        <v>280</v>
      </c>
      <c r="C131" t="str">
        <f t="shared" si="6"/>
        <v>Technicien4</v>
      </c>
      <c r="D131" t="s">
        <v>174</v>
      </c>
      <c r="E131">
        <v>4</v>
      </c>
      <c r="G131">
        <v>376</v>
      </c>
      <c r="H131" t="s">
        <v>8</v>
      </c>
    </row>
    <row r="132" spans="1:8" x14ac:dyDescent="0.2">
      <c r="A132" s="1" t="s">
        <v>19</v>
      </c>
      <c r="B132" t="s">
        <v>280</v>
      </c>
      <c r="C132" t="str">
        <f t="shared" si="6"/>
        <v>Technicien5</v>
      </c>
      <c r="D132" t="s">
        <v>174</v>
      </c>
      <c r="E132">
        <v>5</v>
      </c>
      <c r="G132">
        <v>377</v>
      </c>
      <c r="H132" t="s">
        <v>8</v>
      </c>
    </row>
    <row r="133" spans="1:8" x14ac:dyDescent="0.2">
      <c r="A133" s="1" t="s">
        <v>19</v>
      </c>
      <c r="B133" t="s">
        <v>280</v>
      </c>
      <c r="C133" t="str">
        <f t="shared" si="6"/>
        <v>Technicien6</v>
      </c>
      <c r="D133" t="s">
        <v>174</v>
      </c>
      <c r="E133">
        <v>6</v>
      </c>
      <c r="G133">
        <v>386</v>
      </c>
      <c r="H133" t="s">
        <v>8</v>
      </c>
    </row>
    <row r="134" spans="1:8" x14ac:dyDescent="0.2">
      <c r="A134" s="1" t="s">
        <v>19</v>
      </c>
      <c r="B134" t="s">
        <v>280</v>
      </c>
      <c r="C134" t="str">
        <f t="shared" si="6"/>
        <v>Technicien7</v>
      </c>
      <c r="D134" t="s">
        <v>174</v>
      </c>
      <c r="E134">
        <v>7</v>
      </c>
      <c r="G134">
        <v>401</v>
      </c>
      <c r="H134" t="s">
        <v>8</v>
      </c>
    </row>
    <row r="135" spans="1:8" x14ac:dyDescent="0.2">
      <c r="A135" s="1" t="s">
        <v>19</v>
      </c>
      <c r="B135" t="s">
        <v>280</v>
      </c>
      <c r="C135" t="str">
        <f t="shared" si="6"/>
        <v>Technicien8</v>
      </c>
      <c r="D135" t="s">
        <v>174</v>
      </c>
      <c r="E135">
        <v>8</v>
      </c>
      <c r="G135">
        <v>420</v>
      </c>
      <c r="H135" t="s">
        <v>8</v>
      </c>
    </row>
    <row r="136" spans="1:8" x14ac:dyDescent="0.2">
      <c r="A136" s="1" t="s">
        <v>19</v>
      </c>
      <c r="B136" t="s">
        <v>280</v>
      </c>
      <c r="C136" t="str">
        <f t="shared" si="6"/>
        <v>Technicien9</v>
      </c>
      <c r="D136" t="s">
        <v>174</v>
      </c>
      <c r="E136">
        <v>9</v>
      </c>
      <c r="G136">
        <v>436</v>
      </c>
      <c r="H136" t="s">
        <v>8</v>
      </c>
    </row>
    <row r="137" spans="1:8" x14ac:dyDescent="0.2">
      <c r="A137" s="1" t="s">
        <v>19</v>
      </c>
      <c r="B137" t="s">
        <v>280</v>
      </c>
      <c r="C137" t="str">
        <f t="shared" si="6"/>
        <v>Technicien10</v>
      </c>
      <c r="D137" t="s">
        <v>174</v>
      </c>
      <c r="E137">
        <v>10</v>
      </c>
      <c r="G137">
        <v>446</v>
      </c>
      <c r="H137" t="s">
        <v>8</v>
      </c>
    </row>
    <row r="138" spans="1:8" x14ac:dyDescent="0.2">
      <c r="A138" s="1" t="s">
        <v>19</v>
      </c>
      <c r="B138" t="s">
        <v>280</v>
      </c>
      <c r="C138" t="str">
        <f t="shared" si="6"/>
        <v>Technicien11</v>
      </c>
      <c r="D138" t="s">
        <v>174</v>
      </c>
      <c r="E138">
        <v>11</v>
      </c>
      <c r="G138">
        <v>462</v>
      </c>
      <c r="H138" t="s">
        <v>8</v>
      </c>
    </row>
    <row r="139" spans="1:8" x14ac:dyDescent="0.2">
      <c r="A139" s="1" t="s">
        <v>19</v>
      </c>
      <c r="B139" t="s">
        <v>280</v>
      </c>
      <c r="C139" t="str">
        <f t="shared" si="6"/>
        <v>Technicien12</v>
      </c>
      <c r="D139" t="s">
        <v>174</v>
      </c>
      <c r="E139">
        <v>12</v>
      </c>
      <c r="G139">
        <v>482</v>
      </c>
      <c r="H139" t="s">
        <v>8</v>
      </c>
    </row>
    <row r="140" spans="1:8" x14ac:dyDescent="0.2">
      <c r="A140" s="1" t="s">
        <v>19</v>
      </c>
      <c r="B140" t="s">
        <v>280</v>
      </c>
      <c r="C140" t="str">
        <f t="shared" si="6"/>
        <v>Technicien13</v>
      </c>
      <c r="D140" t="s">
        <v>174</v>
      </c>
      <c r="E140">
        <v>13</v>
      </c>
      <c r="G140">
        <v>508</v>
      </c>
      <c r="H140" t="s">
        <v>8</v>
      </c>
    </row>
    <row r="141" spans="1:8" x14ac:dyDescent="0.2">
      <c r="A141" s="1" t="s">
        <v>19</v>
      </c>
      <c r="B141" t="s">
        <v>280</v>
      </c>
      <c r="C141" t="str">
        <f t="shared" si="6"/>
        <v>Technicien principal 2° classe1</v>
      </c>
      <c r="D141" t="s">
        <v>292</v>
      </c>
      <c r="E141">
        <v>1</v>
      </c>
      <c r="G141">
        <v>376</v>
      </c>
      <c r="H141" t="s">
        <v>8</v>
      </c>
    </row>
    <row r="142" spans="1:8" x14ac:dyDescent="0.2">
      <c r="A142" s="1" t="s">
        <v>19</v>
      </c>
      <c r="B142" t="s">
        <v>280</v>
      </c>
      <c r="C142" t="str">
        <f t="shared" si="6"/>
        <v>Technicien principal 2° classe2</v>
      </c>
      <c r="D142" t="s">
        <v>292</v>
      </c>
      <c r="E142">
        <v>2</v>
      </c>
      <c r="G142">
        <v>377</v>
      </c>
      <c r="H142" t="s">
        <v>8</v>
      </c>
    </row>
    <row r="143" spans="1:8" x14ac:dyDescent="0.2">
      <c r="A143" s="1" t="s">
        <v>19</v>
      </c>
      <c r="B143" t="s">
        <v>280</v>
      </c>
      <c r="C143" t="str">
        <f t="shared" si="6"/>
        <v>Technicien principal 2° classe3</v>
      </c>
      <c r="D143" t="s">
        <v>292</v>
      </c>
      <c r="E143">
        <v>3</v>
      </c>
      <c r="G143">
        <v>384</v>
      </c>
      <c r="H143" t="s">
        <v>8</v>
      </c>
    </row>
    <row r="144" spans="1:8" x14ac:dyDescent="0.2">
      <c r="A144" s="1" t="s">
        <v>19</v>
      </c>
      <c r="B144" t="s">
        <v>280</v>
      </c>
      <c r="C144" t="str">
        <f t="shared" si="6"/>
        <v>Technicien principal 2° classe4</v>
      </c>
      <c r="D144" t="s">
        <v>292</v>
      </c>
      <c r="E144">
        <v>4</v>
      </c>
      <c r="G144">
        <v>395</v>
      </c>
      <c r="H144" t="s">
        <v>8</v>
      </c>
    </row>
    <row r="145" spans="1:8" x14ac:dyDescent="0.2">
      <c r="A145" s="1" t="s">
        <v>19</v>
      </c>
      <c r="B145" t="s">
        <v>280</v>
      </c>
      <c r="C145" t="str">
        <f t="shared" si="6"/>
        <v>Technicien principal 2° classe5</v>
      </c>
      <c r="D145" t="s">
        <v>292</v>
      </c>
      <c r="E145">
        <v>5</v>
      </c>
      <c r="G145">
        <v>406</v>
      </c>
      <c r="H145" t="s">
        <v>8</v>
      </c>
    </row>
    <row r="146" spans="1:8" x14ac:dyDescent="0.2">
      <c r="A146" s="1" t="s">
        <v>19</v>
      </c>
      <c r="B146" t="s">
        <v>280</v>
      </c>
      <c r="C146" t="str">
        <f t="shared" si="6"/>
        <v>Technicien principal 2° classe6</v>
      </c>
      <c r="D146" t="s">
        <v>292</v>
      </c>
      <c r="E146">
        <v>6</v>
      </c>
      <c r="G146">
        <v>421</v>
      </c>
      <c r="H146" t="s">
        <v>8</v>
      </c>
    </row>
    <row r="147" spans="1:8" x14ac:dyDescent="0.2">
      <c r="A147" s="1" t="s">
        <v>19</v>
      </c>
      <c r="B147" t="s">
        <v>280</v>
      </c>
      <c r="C147" t="str">
        <f t="shared" si="6"/>
        <v>Technicien principal 2° classe7</v>
      </c>
      <c r="D147" t="s">
        <v>292</v>
      </c>
      <c r="E147">
        <v>7</v>
      </c>
      <c r="G147">
        <v>441</v>
      </c>
      <c r="H147" t="s">
        <v>8</v>
      </c>
    </row>
    <row r="148" spans="1:8" x14ac:dyDescent="0.2">
      <c r="A148" s="1" t="s">
        <v>19</v>
      </c>
      <c r="B148" t="s">
        <v>280</v>
      </c>
      <c r="C148" t="str">
        <f t="shared" si="6"/>
        <v>Technicien principal 2° classe8</v>
      </c>
      <c r="D148" t="s">
        <v>292</v>
      </c>
      <c r="E148">
        <v>8</v>
      </c>
      <c r="G148">
        <v>457</v>
      </c>
      <c r="H148" t="s">
        <v>8</v>
      </c>
    </row>
    <row r="149" spans="1:8" x14ac:dyDescent="0.2">
      <c r="A149" s="1" t="s">
        <v>19</v>
      </c>
      <c r="B149" t="s">
        <v>280</v>
      </c>
      <c r="C149" t="str">
        <f t="shared" si="6"/>
        <v>Technicien principal 2° classe9</v>
      </c>
      <c r="D149" t="s">
        <v>292</v>
      </c>
      <c r="E149">
        <v>9</v>
      </c>
      <c r="G149">
        <v>466</v>
      </c>
      <c r="H149" t="s">
        <v>8</v>
      </c>
    </row>
    <row r="150" spans="1:8" x14ac:dyDescent="0.2">
      <c r="A150" s="1" t="s">
        <v>19</v>
      </c>
      <c r="B150" t="s">
        <v>280</v>
      </c>
      <c r="C150" t="str">
        <f t="shared" si="6"/>
        <v>Technicien principal 2° classe10</v>
      </c>
      <c r="D150" t="s">
        <v>292</v>
      </c>
      <c r="E150">
        <v>10</v>
      </c>
      <c r="G150">
        <v>485</v>
      </c>
      <c r="H150" t="s">
        <v>8</v>
      </c>
    </row>
    <row r="151" spans="1:8" x14ac:dyDescent="0.2">
      <c r="A151" s="1" t="s">
        <v>19</v>
      </c>
      <c r="B151" t="s">
        <v>280</v>
      </c>
      <c r="C151" t="str">
        <f t="shared" si="6"/>
        <v>Technicien principal 2° classe11</v>
      </c>
      <c r="D151" t="s">
        <v>292</v>
      </c>
      <c r="E151">
        <v>11</v>
      </c>
      <c r="G151">
        <v>509</v>
      </c>
      <c r="H151" t="s">
        <v>8</v>
      </c>
    </row>
    <row r="152" spans="1:8" x14ac:dyDescent="0.2">
      <c r="A152" s="1" t="s">
        <v>19</v>
      </c>
      <c r="B152" t="s">
        <v>280</v>
      </c>
      <c r="C152" t="str">
        <f t="shared" si="6"/>
        <v>Technicien principal 2° classe12</v>
      </c>
      <c r="D152" t="s">
        <v>292</v>
      </c>
      <c r="E152">
        <v>12</v>
      </c>
      <c r="G152">
        <v>539</v>
      </c>
      <c r="H152" t="s">
        <v>8</v>
      </c>
    </row>
    <row r="153" spans="1:8" x14ac:dyDescent="0.2">
      <c r="A153" s="1" t="s">
        <v>19</v>
      </c>
      <c r="B153" t="s">
        <v>280</v>
      </c>
      <c r="C153" t="str">
        <f t="shared" si="6"/>
        <v>Technicien principal 1° classe1</v>
      </c>
      <c r="D153" t="s">
        <v>293</v>
      </c>
      <c r="E153">
        <v>1</v>
      </c>
      <c r="G153">
        <v>397</v>
      </c>
      <c r="H153" t="s">
        <v>8</v>
      </c>
    </row>
    <row r="154" spans="1:8" x14ac:dyDescent="0.2">
      <c r="A154" s="1" t="s">
        <v>19</v>
      </c>
      <c r="B154" t="s">
        <v>280</v>
      </c>
      <c r="C154" t="str">
        <f t="shared" si="6"/>
        <v>Technicien principal 1° classe2</v>
      </c>
      <c r="D154" t="s">
        <v>293</v>
      </c>
      <c r="E154">
        <v>2</v>
      </c>
      <c r="G154">
        <v>409</v>
      </c>
      <c r="H154" t="s">
        <v>8</v>
      </c>
    </row>
    <row r="155" spans="1:8" x14ac:dyDescent="0.2">
      <c r="A155" s="1" t="s">
        <v>19</v>
      </c>
      <c r="B155" t="s">
        <v>280</v>
      </c>
      <c r="C155" t="str">
        <f t="shared" si="6"/>
        <v>Technicien principal 1° classe3</v>
      </c>
      <c r="D155" t="s">
        <v>293</v>
      </c>
      <c r="E155">
        <v>3</v>
      </c>
      <c r="G155">
        <v>424</v>
      </c>
      <c r="H155" t="s">
        <v>8</v>
      </c>
    </row>
    <row r="156" spans="1:8" x14ac:dyDescent="0.2">
      <c r="A156" s="1" t="s">
        <v>19</v>
      </c>
      <c r="B156" t="s">
        <v>280</v>
      </c>
      <c r="C156" t="str">
        <f t="shared" si="6"/>
        <v>Technicien principal 1° classe4</v>
      </c>
      <c r="D156" t="s">
        <v>293</v>
      </c>
      <c r="E156">
        <v>4</v>
      </c>
      <c r="G156">
        <v>446</v>
      </c>
      <c r="H156" t="s">
        <v>8</v>
      </c>
    </row>
    <row r="157" spans="1:8" x14ac:dyDescent="0.2">
      <c r="A157" s="1" t="s">
        <v>19</v>
      </c>
      <c r="B157" t="s">
        <v>280</v>
      </c>
      <c r="C157" t="str">
        <f t="shared" si="6"/>
        <v>Technicien principal 1° classe5</v>
      </c>
      <c r="D157" t="s">
        <v>293</v>
      </c>
      <c r="E157">
        <v>5</v>
      </c>
      <c r="G157">
        <v>470</v>
      </c>
      <c r="H157" t="s">
        <v>8</v>
      </c>
    </row>
    <row r="158" spans="1:8" x14ac:dyDescent="0.2">
      <c r="A158" s="1" t="s">
        <v>19</v>
      </c>
      <c r="B158" t="s">
        <v>280</v>
      </c>
      <c r="C158" t="str">
        <f t="shared" si="6"/>
        <v>Technicien principal 1° classe6</v>
      </c>
      <c r="D158" t="s">
        <v>293</v>
      </c>
      <c r="E158">
        <v>6</v>
      </c>
      <c r="G158">
        <v>489</v>
      </c>
      <c r="H158" t="s">
        <v>8</v>
      </c>
    </row>
    <row r="159" spans="1:8" x14ac:dyDescent="0.2">
      <c r="A159" s="1" t="s">
        <v>19</v>
      </c>
      <c r="B159" t="s">
        <v>280</v>
      </c>
      <c r="C159" t="str">
        <f t="shared" si="6"/>
        <v>Technicien principal 1° classe7</v>
      </c>
      <c r="D159" t="s">
        <v>293</v>
      </c>
      <c r="E159">
        <v>7</v>
      </c>
      <c r="G159">
        <v>513</v>
      </c>
      <c r="H159" t="s">
        <v>8</v>
      </c>
    </row>
    <row r="160" spans="1:8" x14ac:dyDescent="0.2">
      <c r="A160" s="1" t="s">
        <v>19</v>
      </c>
      <c r="B160" t="s">
        <v>280</v>
      </c>
      <c r="C160" t="str">
        <f t="shared" si="6"/>
        <v>Technicien principal 1° classe8</v>
      </c>
      <c r="D160" t="s">
        <v>293</v>
      </c>
      <c r="E160">
        <v>8</v>
      </c>
      <c r="G160">
        <v>539</v>
      </c>
      <c r="H160" t="s">
        <v>8</v>
      </c>
    </row>
    <row r="161" spans="1:8" x14ac:dyDescent="0.2">
      <c r="A161" s="1" t="s">
        <v>19</v>
      </c>
      <c r="B161" t="s">
        <v>280</v>
      </c>
      <c r="C161" t="str">
        <f t="shared" si="6"/>
        <v>Technicien principal 1° classe9</v>
      </c>
      <c r="D161" t="s">
        <v>293</v>
      </c>
      <c r="E161">
        <v>9</v>
      </c>
      <c r="G161">
        <v>556</v>
      </c>
      <c r="H161" t="s">
        <v>8</v>
      </c>
    </row>
    <row r="162" spans="1:8" x14ac:dyDescent="0.2">
      <c r="A162" s="1" t="s">
        <v>19</v>
      </c>
      <c r="B162" t="s">
        <v>280</v>
      </c>
      <c r="C162" t="str">
        <f t="shared" si="6"/>
        <v>Technicien principal 1° classe10</v>
      </c>
      <c r="D162" t="s">
        <v>293</v>
      </c>
      <c r="E162">
        <v>10</v>
      </c>
      <c r="G162">
        <v>574</v>
      </c>
      <c r="H162" t="s">
        <v>8</v>
      </c>
    </row>
    <row r="163" spans="1:8" x14ac:dyDescent="0.2">
      <c r="A163" s="1" t="s">
        <v>19</v>
      </c>
      <c r="B163" t="s">
        <v>280</v>
      </c>
      <c r="C163" t="str">
        <f t="shared" si="6"/>
        <v>Technicien principal 1° classe11</v>
      </c>
      <c r="D163" t="s">
        <v>293</v>
      </c>
      <c r="E163">
        <v>11</v>
      </c>
      <c r="G163">
        <v>592</v>
      </c>
      <c r="H163" t="s">
        <v>8</v>
      </c>
    </row>
    <row r="164" spans="1:8" x14ac:dyDescent="0.2">
      <c r="A164" s="1" t="s">
        <v>19</v>
      </c>
      <c r="B164" t="s">
        <v>347</v>
      </c>
      <c r="C164" t="str">
        <f t="shared" si="6"/>
        <v>Agents de maîtrise1</v>
      </c>
      <c r="D164" t="s">
        <v>348</v>
      </c>
      <c r="E164">
        <v>1</v>
      </c>
      <c r="G164">
        <v>367</v>
      </c>
      <c r="H164" t="s">
        <v>74</v>
      </c>
    </row>
    <row r="165" spans="1:8" x14ac:dyDescent="0.2">
      <c r="A165" s="1" t="s">
        <v>19</v>
      </c>
      <c r="B165" t="s">
        <v>347</v>
      </c>
      <c r="C165" t="str">
        <f t="shared" si="6"/>
        <v>Agents de maîtrise2</v>
      </c>
      <c r="D165" t="s">
        <v>348</v>
      </c>
      <c r="E165">
        <v>2</v>
      </c>
      <c r="G165">
        <v>369</v>
      </c>
      <c r="H165" t="s">
        <v>74</v>
      </c>
    </row>
    <row r="166" spans="1:8" x14ac:dyDescent="0.2">
      <c r="A166" s="1" t="s">
        <v>19</v>
      </c>
      <c r="B166" t="s">
        <v>347</v>
      </c>
      <c r="C166" t="str">
        <f t="shared" si="6"/>
        <v>Agents de maîtrise3</v>
      </c>
      <c r="D166" t="s">
        <v>348</v>
      </c>
      <c r="E166">
        <v>3</v>
      </c>
      <c r="G166">
        <v>370</v>
      </c>
      <c r="H166" t="s">
        <v>74</v>
      </c>
    </row>
    <row r="167" spans="1:8" x14ac:dyDescent="0.2">
      <c r="A167" s="1" t="s">
        <v>19</v>
      </c>
      <c r="B167" t="s">
        <v>347</v>
      </c>
      <c r="C167" t="str">
        <f t="shared" si="6"/>
        <v>Agents de maîtrise4</v>
      </c>
      <c r="D167" t="s">
        <v>348</v>
      </c>
      <c r="E167">
        <v>4</v>
      </c>
      <c r="G167">
        <v>373</v>
      </c>
      <c r="H167" t="s">
        <v>74</v>
      </c>
    </row>
    <row r="168" spans="1:8" x14ac:dyDescent="0.2">
      <c r="A168" s="1" t="s">
        <v>19</v>
      </c>
      <c r="B168" t="s">
        <v>347</v>
      </c>
      <c r="C168" t="str">
        <f t="shared" si="6"/>
        <v>Agents de maîtrise5</v>
      </c>
      <c r="D168" t="s">
        <v>348</v>
      </c>
      <c r="E168">
        <v>5</v>
      </c>
      <c r="G168">
        <v>374</v>
      </c>
      <c r="H168" t="s">
        <v>74</v>
      </c>
    </row>
    <row r="169" spans="1:8" x14ac:dyDescent="0.2">
      <c r="A169" s="1" t="s">
        <v>19</v>
      </c>
      <c r="B169" t="s">
        <v>347</v>
      </c>
      <c r="C169" t="str">
        <f t="shared" si="6"/>
        <v>Agents de maîtrise6</v>
      </c>
      <c r="D169" t="s">
        <v>348</v>
      </c>
      <c r="E169">
        <v>6</v>
      </c>
      <c r="G169">
        <v>376</v>
      </c>
      <c r="H169" t="s">
        <v>74</v>
      </c>
    </row>
    <row r="170" spans="1:8" x14ac:dyDescent="0.2">
      <c r="A170" s="1" t="s">
        <v>19</v>
      </c>
      <c r="B170" t="s">
        <v>347</v>
      </c>
      <c r="C170" t="str">
        <f t="shared" si="6"/>
        <v>Agents de maîtrise7</v>
      </c>
      <c r="D170" t="s">
        <v>348</v>
      </c>
      <c r="E170">
        <v>7</v>
      </c>
      <c r="G170">
        <v>377</v>
      </c>
      <c r="H170" t="s">
        <v>74</v>
      </c>
    </row>
    <row r="171" spans="1:8" x14ac:dyDescent="0.2">
      <c r="A171" s="1" t="s">
        <v>19</v>
      </c>
      <c r="B171" t="s">
        <v>347</v>
      </c>
      <c r="C171" t="str">
        <f t="shared" si="6"/>
        <v>Agents de maîtrise8</v>
      </c>
      <c r="D171" t="s">
        <v>348</v>
      </c>
      <c r="E171">
        <v>8</v>
      </c>
      <c r="G171">
        <v>385</v>
      </c>
      <c r="H171" t="s">
        <v>74</v>
      </c>
    </row>
    <row r="172" spans="1:8" x14ac:dyDescent="0.2">
      <c r="A172" s="1" t="s">
        <v>19</v>
      </c>
      <c r="B172" t="s">
        <v>347</v>
      </c>
      <c r="C172" t="str">
        <f t="shared" si="6"/>
        <v>Agents de maîtrise9</v>
      </c>
      <c r="D172" t="s">
        <v>348</v>
      </c>
      <c r="E172">
        <v>9</v>
      </c>
      <c r="G172">
        <v>397</v>
      </c>
      <c r="H172" t="s">
        <v>74</v>
      </c>
    </row>
    <row r="173" spans="1:8" x14ac:dyDescent="0.2">
      <c r="A173" s="1" t="s">
        <v>19</v>
      </c>
      <c r="B173" t="s">
        <v>347</v>
      </c>
      <c r="C173" t="str">
        <f t="shared" si="6"/>
        <v>Agents de maîtrise10</v>
      </c>
      <c r="D173" t="s">
        <v>348</v>
      </c>
      <c r="E173">
        <v>10</v>
      </c>
      <c r="G173">
        <v>409</v>
      </c>
      <c r="H173" t="s">
        <v>74</v>
      </c>
    </row>
    <row r="174" spans="1:8" x14ac:dyDescent="0.2">
      <c r="A174" s="1" t="s">
        <v>19</v>
      </c>
      <c r="B174" t="s">
        <v>347</v>
      </c>
      <c r="C174" t="str">
        <f t="shared" si="6"/>
        <v>Agents de maîtrise11</v>
      </c>
      <c r="D174" t="s">
        <v>348</v>
      </c>
      <c r="E174">
        <v>11</v>
      </c>
      <c r="G174">
        <v>417</v>
      </c>
      <c r="H174" t="s">
        <v>74</v>
      </c>
    </row>
    <row r="175" spans="1:8" x14ac:dyDescent="0.2">
      <c r="A175" s="1" t="s">
        <v>19</v>
      </c>
      <c r="B175" t="s">
        <v>347</v>
      </c>
      <c r="C175" t="str">
        <f t="shared" si="6"/>
        <v>Agents de maîtrise12</v>
      </c>
      <c r="D175" t="s">
        <v>348</v>
      </c>
      <c r="E175">
        <v>12</v>
      </c>
      <c r="G175">
        <v>425</v>
      </c>
      <c r="H175" t="s">
        <v>74</v>
      </c>
    </row>
    <row r="176" spans="1:8" x14ac:dyDescent="0.2">
      <c r="A176" s="1" t="s">
        <v>19</v>
      </c>
      <c r="B176" t="s">
        <v>347</v>
      </c>
      <c r="C176" t="str">
        <f t="shared" si="6"/>
        <v>Agents de maîtrise principal1</v>
      </c>
      <c r="D176" t="s">
        <v>349</v>
      </c>
      <c r="E176">
        <v>1</v>
      </c>
      <c r="G176">
        <v>373</v>
      </c>
      <c r="H176" t="s">
        <v>74</v>
      </c>
    </row>
    <row r="177" spans="1:8" x14ac:dyDescent="0.2">
      <c r="A177" s="1" t="s">
        <v>19</v>
      </c>
      <c r="B177" t="s">
        <v>347</v>
      </c>
      <c r="C177" t="str">
        <f t="shared" si="6"/>
        <v>Agents de maîtrise principal2</v>
      </c>
      <c r="D177" t="s">
        <v>349</v>
      </c>
      <c r="E177">
        <v>2</v>
      </c>
      <c r="G177">
        <v>375</v>
      </c>
      <c r="H177" t="s">
        <v>74</v>
      </c>
    </row>
    <row r="178" spans="1:8" x14ac:dyDescent="0.2">
      <c r="A178" s="1" t="s">
        <v>19</v>
      </c>
      <c r="B178" t="s">
        <v>347</v>
      </c>
      <c r="C178" t="str">
        <f t="shared" si="6"/>
        <v>Agents de maîtrise principal3</v>
      </c>
      <c r="D178" t="s">
        <v>349</v>
      </c>
      <c r="E178">
        <v>3</v>
      </c>
      <c r="G178">
        <v>376</v>
      </c>
      <c r="H178" t="s">
        <v>74</v>
      </c>
    </row>
    <row r="179" spans="1:8" x14ac:dyDescent="0.2">
      <c r="A179" s="1" t="s">
        <v>19</v>
      </c>
      <c r="B179" t="s">
        <v>347</v>
      </c>
      <c r="C179" t="str">
        <f t="shared" si="6"/>
        <v>Agents de maîtrise principal4</v>
      </c>
      <c r="D179" t="s">
        <v>349</v>
      </c>
      <c r="E179">
        <v>4</v>
      </c>
      <c r="G179">
        <v>385</v>
      </c>
      <c r="H179" t="s">
        <v>74</v>
      </c>
    </row>
    <row r="180" spans="1:8" x14ac:dyDescent="0.2">
      <c r="A180" s="1" t="s">
        <v>19</v>
      </c>
      <c r="B180" t="s">
        <v>347</v>
      </c>
      <c r="C180" t="str">
        <f t="shared" si="6"/>
        <v>Agents de maîtrise principal5</v>
      </c>
      <c r="D180" t="s">
        <v>349</v>
      </c>
      <c r="E180">
        <v>5</v>
      </c>
      <c r="G180">
        <v>398</v>
      </c>
      <c r="H180" t="s">
        <v>74</v>
      </c>
    </row>
    <row r="181" spans="1:8" x14ac:dyDescent="0.2">
      <c r="A181" s="1" t="s">
        <v>19</v>
      </c>
      <c r="B181" t="s">
        <v>347</v>
      </c>
      <c r="C181" t="str">
        <f t="shared" si="6"/>
        <v>Agents de maîtrise principal6</v>
      </c>
      <c r="D181" t="s">
        <v>349</v>
      </c>
      <c r="E181">
        <v>6</v>
      </c>
      <c r="G181">
        <v>408</v>
      </c>
      <c r="H181" t="s">
        <v>74</v>
      </c>
    </row>
    <row r="182" spans="1:8" x14ac:dyDescent="0.2">
      <c r="A182" s="1" t="s">
        <v>19</v>
      </c>
      <c r="B182" t="s">
        <v>347</v>
      </c>
      <c r="C182" t="str">
        <f t="shared" si="6"/>
        <v>Agents de maîtrise principal7</v>
      </c>
      <c r="D182" t="s">
        <v>349</v>
      </c>
      <c r="E182">
        <v>7</v>
      </c>
      <c r="G182">
        <v>420</v>
      </c>
      <c r="H182" t="s">
        <v>74</v>
      </c>
    </row>
    <row r="183" spans="1:8" x14ac:dyDescent="0.2">
      <c r="A183" s="1" t="s">
        <v>19</v>
      </c>
      <c r="B183" t="s">
        <v>347</v>
      </c>
      <c r="C183" t="str">
        <f t="shared" si="6"/>
        <v>Agents de maîtrise principal8</v>
      </c>
      <c r="D183" t="s">
        <v>349</v>
      </c>
      <c r="E183">
        <v>8</v>
      </c>
      <c r="G183">
        <v>435</v>
      </c>
      <c r="H183" t="s">
        <v>74</v>
      </c>
    </row>
    <row r="184" spans="1:8" x14ac:dyDescent="0.2">
      <c r="A184" s="1" t="s">
        <v>19</v>
      </c>
      <c r="B184" t="s">
        <v>347</v>
      </c>
      <c r="C184" t="str">
        <f t="shared" si="6"/>
        <v>Agents de maîtrise principal9</v>
      </c>
      <c r="D184" t="s">
        <v>349</v>
      </c>
      <c r="E184">
        <v>9</v>
      </c>
      <c r="G184">
        <v>455</v>
      </c>
      <c r="H184" t="s">
        <v>74</v>
      </c>
    </row>
    <row r="185" spans="1:8" x14ac:dyDescent="0.2">
      <c r="A185" s="1" t="s">
        <v>19</v>
      </c>
      <c r="B185" t="s">
        <v>347</v>
      </c>
      <c r="C185" t="str">
        <f t="shared" si="6"/>
        <v>Agents de maîtrise principal10</v>
      </c>
      <c r="D185" t="s">
        <v>349</v>
      </c>
      <c r="E185">
        <v>10</v>
      </c>
      <c r="G185">
        <v>478</v>
      </c>
      <c r="H185" t="s">
        <v>74</v>
      </c>
    </row>
    <row r="186" spans="1:8" x14ac:dyDescent="0.2">
      <c r="A186" s="1" t="s">
        <v>19</v>
      </c>
      <c r="B186" t="s">
        <v>281</v>
      </c>
      <c r="C186" t="str">
        <f>D186&amp;E186</f>
        <v>Adjoint technique1</v>
      </c>
      <c r="D186" t="s">
        <v>287</v>
      </c>
      <c r="E186">
        <v>1</v>
      </c>
      <c r="G186">
        <v>366</v>
      </c>
      <c r="H186" t="s">
        <v>74</v>
      </c>
    </row>
    <row r="187" spans="1:8" x14ac:dyDescent="0.2">
      <c r="A187" s="1" t="s">
        <v>19</v>
      </c>
      <c r="B187" t="s">
        <v>281</v>
      </c>
      <c r="C187" t="str">
        <f t="shared" ref="C187:C196" si="7">D187&amp;E187</f>
        <v>Adjoint technique2</v>
      </c>
      <c r="D187" t="s">
        <v>287</v>
      </c>
      <c r="E187">
        <v>2</v>
      </c>
      <c r="G187">
        <v>367</v>
      </c>
      <c r="H187" t="s">
        <v>74</v>
      </c>
    </row>
    <row r="188" spans="1:8" x14ac:dyDescent="0.2">
      <c r="A188" s="1" t="s">
        <v>19</v>
      </c>
      <c r="B188" t="s">
        <v>281</v>
      </c>
      <c r="C188" t="str">
        <f t="shared" si="7"/>
        <v>Adjoint technique3</v>
      </c>
      <c r="D188" t="s">
        <v>287</v>
      </c>
      <c r="E188">
        <v>3</v>
      </c>
      <c r="G188">
        <v>368</v>
      </c>
      <c r="H188" t="s">
        <v>74</v>
      </c>
    </row>
    <row r="189" spans="1:8" x14ac:dyDescent="0.2">
      <c r="A189" s="1" t="s">
        <v>19</v>
      </c>
      <c r="B189" t="s">
        <v>281</v>
      </c>
      <c r="C189" t="str">
        <f t="shared" si="7"/>
        <v>Adjoint technique4</v>
      </c>
      <c r="D189" t="s">
        <v>287</v>
      </c>
      <c r="E189">
        <v>4</v>
      </c>
      <c r="G189">
        <v>369</v>
      </c>
      <c r="H189" t="s">
        <v>74</v>
      </c>
    </row>
    <row r="190" spans="1:8" x14ac:dyDescent="0.2">
      <c r="A190" s="1" t="s">
        <v>19</v>
      </c>
      <c r="B190" t="s">
        <v>281</v>
      </c>
      <c r="C190" t="str">
        <f t="shared" si="7"/>
        <v>Adjoint technique5</v>
      </c>
      <c r="D190" t="s">
        <v>287</v>
      </c>
      <c r="E190">
        <v>5</v>
      </c>
      <c r="G190">
        <v>370</v>
      </c>
      <c r="H190" t="s">
        <v>74</v>
      </c>
    </row>
    <row r="191" spans="1:8" x14ac:dyDescent="0.2">
      <c r="A191" s="1" t="s">
        <v>19</v>
      </c>
      <c r="B191" t="s">
        <v>281</v>
      </c>
      <c r="C191" t="str">
        <f t="shared" si="7"/>
        <v>Adjoint technique6</v>
      </c>
      <c r="D191" t="s">
        <v>287</v>
      </c>
      <c r="E191">
        <v>6</v>
      </c>
      <c r="G191">
        <v>371</v>
      </c>
      <c r="H191" t="s">
        <v>74</v>
      </c>
    </row>
    <row r="192" spans="1:8" x14ac:dyDescent="0.2">
      <c r="A192" s="1" t="s">
        <v>19</v>
      </c>
      <c r="B192" t="s">
        <v>281</v>
      </c>
      <c r="C192" t="str">
        <f t="shared" si="7"/>
        <v>Adjoint technique7</v>
      </c>
      <c r="D192" t="s">
        <v>287</v>
      </c>
      <c r="E192">
        <v>7</v>
      </c>
      <c r="G192">
        <v>372</v>
      </c>
      <c r="H192" t="s">
        <v>74</v>
      </c>
    </row>
    <row r="193" spans="1:8" x14ac:dyDescent="0.2">
      <c r="A193" s="1" t="s">
        <v>19</v>
      </c>
      <c r="B193" t="s">
        <v>281</v>
      </c>
      <c r="C193" t="str">
        <f t="shared" si="7"/>
        <v>Adjoint technique8</v>
      </c>
      <c r="D193" t="s">
        <v>287</v>
      </c>
      <c r="E193">
        <v>8</v>
      </c>
      <c r="G193">
        <v>373</v>
      </c>
      <c r="H193" t="s">
        <v>74</v>
      </c>
    </row>
    <row r="194" spans="1:8" x14ac:dyDescent="0.2">
      <c r="A194" s="1" t="s">
        <v>19</v>
      </c>
      <c r="B194" t="s">
        <v>281</v>
      </c>
      <c r="C194" t="str">
        <f t="shared" si="7"/>
        <v>Adjoint technique9</v>
      </c>
      <c r="D194" t="s">
        <v>287</v>
      </c>
      <c r="E194">
        <v>9</v>
      </c>
      <c r="G194">
        <v>376</v>
      </c>
      <c r="H194" t="s">
        <v>74</v>
      </c>
    </row>
    <row r="195" spans="1:8" x14ac:dyDescent="0.2">
      <c r="A195" s="1" t="s">
        <v>19</v>
      </c>
      <c r="B195" t="s">
        <v>281</v>
      </c>
      <c r="C195" t="str">
        <f t="shared" si="7"/>
        <v>Adjoint technique10</v>
      </c>
      <c r="D195" t="s">
        <v>287</v>
      </c>
      <c r="E195">
        <v>10</v>
      </c>
      <c r="G195">
        <v>377</v>
      </c>
      <c r="H195" t="s">
        <v>74</v>
      </c>
    </row>
    <row r="196" spans="1:8" x14ac:dyDescent="0.2">
      <c r="A196" s="1" t="s">
        <v>19</v>
      </c>
      <c r="B196" t="s">
        <v>281</v>
      </c>
      <c r="C196" t="str">
        <f t="shared" si="7"/>
        <v>Adjoint technique11</v>
      </c>
      <c r="D196" t="s">
        <v>287</v>
      </c>
      <c r="E196">
        <v>11</v>
      </c>
      <c r="G196">
        <v>387</v>
      </c>
      <c r="H196" t="s">
        <v>74</v>
      </c>
    </row>
    <row r="197" spans="1:8" x14ac:dyDescent="0.2">
      <c r="A197" s="1" t="s">
        <v>19</v>
      </c>
      <c r="B197" t="s">
        <v>281</v>
      </c>
      <c r="C197" t="str">
        <f t="shared" ref="C197:C260" si="8">D197&amp;E197</f>
        <v>Adjoint technique principal 2° classe 1</v>
      </c>
      <c r="D197" t="s">
        <v>288</v>
      </c>
      <c r="E197">
        <v>1</v>
      </c>
      <c r="G197">
        <v>367</v>
      </c>
      <c r="H197" t="s">
        <v>74</v>
      </c>
    </row>
    <row r="198" spans="1:8" x14ac:dyDescent="0.2">
      <c r="A198" s="1" t="s">
        <v>19</v>
      </c>
      <c r="B198" t="s">
        <v>281</v>
      </c>
      <c r="C198" t="str">
        <f t="shared" si="8"/>
        <v>Adjoint technique principal 2° classe 2</v>
      </c>
      <c r="D198" t="s">
        <v>288</v>
      </c>
      <c r="E198">
        <v>2</v>
      </c>
      <c r="G198">
        <v>369</v>
      </c>
      <c r="H198" t="s">
        <v>74</v>
      </c>
    </row>
    <row r="199" spans="1:8" x14ac:dyDescent="0.2">
      <c r="A199" s="1" t="s">
        <v>19</v>
      </c>
      <c r="B199" t="s">
        <v>281</v>
      </c>
      <c r="C199" t="str">
        <f t="shared" si="8"/>
        <v>Adjoint technique principal 2° classe 3</v>
      </c>
      <c r="D199" t="s">
        <v>288</v>
      </c>
      <c r="E199">
        <v>3</v>
      </c>
      <c r="G199">
        <v>370</v>
      </c>
      <c r="H199" t="s">
        <v>74</v>
      </c>
    </row>
    <row r="200" spans="1:8" x14ac:dyDescent="0.2">
      <c r="A200" s="1" t="s">
        <v>19</v>
      </c>
      <c r="B200" t="s">
        <v>281</v>
      </c>
      <c r="C200" t="str">
        <f t="shared" si="8"/>
        <v>Adjoint technique principal 2° classe 4</v>
      </c>
      <c r="D200" t="s">
        <v>288</v>
      </c>
      <c r="E200">
        <v>4</v>
      </c>
      <c r="G200">
        <v>373</v>
      </c>
      <c r="H200" t="s">
        <v>74</v>
      </c>
    </row>
    <row r="201" spans="1:8" x14ac:dyDescent="0.2">
      <c r="A201" s="1" t="s">
        <v>19</v>
      </c>
      <c r="B201" t="s">
        <v>281</v>
      </c>
      <c r="C201" t="str">
        <f t="shared" si="8"/>
        <v>Adjoint technique principal 2° classe 5</v>
      </c>
      <c r="D201" t="s">
        <v>288</v>
      </c>
      <c r="E201">
        <v>5</v>
      </c>
      <c r="G201">
        <v>374</v>
      </c>
      <c r="H201" t="s">
        <v>74</v>
      </c>
    </row>
    <row r="202" spans="1:8" x14ac:dyDescent="0.2">
      <c r="A202" s="1" t="s">
        <v>19</v>
      </c>
      <c r="B202" t="s">
        <v>281</v>
      </c>
      <c r="C202" t="str">
        <f t="shared" si="8"/>
        <v>Adjoint technique principal 2° classe 6</v>
      </c>
      <c r="D202" t="s">
        <v>288</v>
      </c>
      <c r="E202">
        <v>6</v>
      </c>
      <c r="G202">
        <v>376</v>
      </c>
      <c r="H202" t="s">
        <v>74</v>
      </c>
    </row>
    <row r="203" spans="1:8" x14ac:dyDescent="0.2">
      <c r="A203" s="1" t="s">
        <v>19</v>
      </c>
      <c r="B203" t="s">
        <v>281</v>
      </c>
      <c r="C203" t="str">
        <f t="shared" si="8"/>
        <v>Adjoint technique principal 2° classe 7</v>
      </c>
      <c r="D203" t="s">
        <v>288</v>
      </c>
      <c r="E203">
        <v>7</v>
      </c>
      <c r="G203">
        <v>377</v>
      </c>
      <c r="H203" t="s">
        <v>74</v>
      </c>
    </row>
    <row r="204" spans="1:8" x14ac:dyDescent="0.2">
      <c r="A204" s="1" t="s">
        <v>19</v>
      </c>
      <c r="B204" t="s">
        <v>281</v>
      </c>
      <c r="C204" t="str">
        <f t="shared" si="8"/>
        <v>Adjoint technique principal 2° classe 8</v>
      </c>
      <c r="D204" t="s">
        <v>288</v>
      </c>
      <c r="E204">
        <v>8</v>
      </c>
      <c r="G204">
        <v>385</v>
      </c>
      <c r="H204" t="s">
        <v>74</v>
      </c>
    </row>
    <row r="205" spans="1:8" x14ac:dyDescent="0.2">
      <c r="A205" s="1" t="s">
        <v>19</v>
      </c>
      <c r="B205" t="s">
        <v>281</v>
      </c>
      <c r="C205" t="str">
        <f t="shared" si="8"/>
        <v>Adjoint technique principal 2° classe 9</v>
      </c>
      <c r="D205" t="s">
        <v>288</v>
      </c>
      <c r="E205">
        <v>9</v>
      </c>
      <c r="G205">
        <v>397</v>
      </c>
      <c r="H205" t="s">
        <v>74</v>
      </c>
    </row>
    <row r="206" spans="1:8" x14ac:dyDescent="0.2">
      <c r="A206" s="1" t="s">
        <v>19</v>
      </c>
      <c r="B206" t="s">
        <v>281</v>
      </c>
      <c r="C206" t="str">
        <f t="shared" si="8"/>
        <v>Adjoint technique principal 2° classe 10</v>
      </c>
      <c r="D206" t="s">
        <v>288</v>
      </c>
      <c r="E206">
        <v>10</v>
      </c>
      <c r="G206">
        <v>409</v>
      </c>
      <c r="H206" t="s">
        <v>74</v>
      </c>
    </row>
    <row r="207" spans="1:8" x14ac:dyDescent="0.2">
      <c r="A207" s="1" t="s">
        <v>19</v>
      </c>
      <c r="B207" t="s">
        <v>281</v>
      </c>
      <c r="C207" t="str">
        <f t="shared" si="8"/>
        <v>Adjoint technique principal 2° classe 11</v>
      </c>
      <c r="D207" t="s">
        <v>288</v>
      </c>
      <c r="E207">
        <v>11</v>
      </c>
      <c r="G207">
        <v>417</v>
      </c>
      <c r="H207" t="s">
        <v>74</v>
      </c>
    </row>
    <row r="208" spans="1:8" x14ac:dyDescent="0.2">
      <c r="A208" s="1" t="s">
        <v>19</v>
      </c>
      <c r="B208" t="s">
        <v>281</v>
      </c>
      <c r="C208" t="str">
        <f t="shared" si="8"/>
        <v>Adjoint technique principal 2° classe 12</v>
      </c>
      <c r="D208" t="s">
        <v>288</v>
      </c>
      <c r="E208">
        <v>12</v>
      </c>
      <c r="G208">
        <v>425</v>
      </c>
      <c r="H208" t="s">
        <v>74</v>
      </c>
    </row>
    <row r="209" spans="1:8" x14ac:dyDescent="0.2">
      <c r="A209" s="1" t="s">
        <v>19</v>
      </c>
      <c r="B209" t="s">
        <v>281</v>
      </c>
      <c r="C209" t="str">
        <f t="shared" si="8"/>
        <v>Adjoint technique principal 1° classe 1</v>
      </c>
      <c r="D209" t="s">
        <v>289</v>
      </c>
      <c r="E209">
        <v>1</v>
      </c>
      <c r="G209">
        <v>373</v>
      </c>
      <c r="H209" t="s">
        <v>74</v>
      </c>
    </row>
    <row r="210" spans="1:8" x14ac:dyDescent="0.2">
      <c r="A210" s="1" t="s">
        <v>19</v>
      </c>
      <c r="B210" t="s">
        <v>281</v>
      </c>
      <c r="C210" t="str">
        <f t="shared" si="8"/>
        <v>Adjoint technique principal 1° classe 2</v>
      </c>
      <c r="D210" t="s">
        <v>289</v>
      </c>
      <c r="E210">
        <v>2</v>
      </c>
      <c r="G210">
        <v>375</v>
      </c>
      <c r="H210" t="s">
        <v>74</v>
      </c>
    </row>
    <row r="211" spans="1:8" x14ac:dyDescent="0.2">
      <c r="A211" s="1" t="s">
        <v>19</v>
      </c>
      <c r="B211" t="s">
        <v>281</v>
      </c>
      <c r="C211" t="str">
        <f t="shared" si="8"/>
        <v>Adjoint technique principal 1° classe 3</v>
      </c>
      <c r="D211" t="s">
        <v>289</v>
      </c>
      <c r="E211">
        <v>3</v>
      </c>
      <c r="G211">
        <v>376</v>
      </c>
      <c r="H211" t="s">
        <v>74</v>
      </c>
    </row>
    <row r="212" spans="1:8" x14ac:dyDescent="0.2">
      <c r="A212" s="1" t="s">
        <v>19</v>
      </c>
      <c r="B212" t="s">
        <v>281</v>
      </c>
      <c r="C212" t="str">
        <f t="shared" si="8"/>
        <v>Adjoint technique principal 1° classe 4</v>
      </c>
      <c r="D212" t="s">
        <v>289</v>
      </c>
      <c r="E212">
        <v>4</v>
      </c>
      <c r="G212">
        <v>385</v>
      </c>
      <c r="H212" t="s">
        <v>74</v>
      </c>
    </row>
    <row r="213" spans="1:8" x14ac:dyDescent="0.2">
      <c r="A213" s="1" t="s">
        <v>19</v>
      </c>
      <c r="B213" t="s">
        <v>281</v>
      </c>
      <c r="C213" t="str">
        <f t="shared" si="8"/>
        <v>Adjoint technique principal 1° classe 5</v>
      </c>
      <c r="D213" t="s">
        <v>289</v>
      </c>
      <c r="E213">
        <v>5</v>
      </c>
      <c r="G213">
        <v>398</v>
      </c>
      <c r="H213" t="s">
        <v>74</v>
      </c>
    </row>
    <row r="214" spans="1:8" x14ac:dyDescent="0.2">
      <c r="A214" s="1" t="s">
        <v>19</v>
      </c>
      <c r="B214" t="s">
        <v>281</v>
      </c>
      <c r="C214" t="str">
        <f t="shared" si="8"/>
        <v>Adjoint technique principal 1° classe 6</v>
      </c>
      <c r="D214" t="s">
        <v>289</v>
      </c>
      <c r="E214">
        <v>6</v>
      </c>
      <c r="G214">
        <v>408</v>
      </c>
      <c r="H214" t="s">
        <v>74</v>
      </c>
    </row>
    <row r="215" spans="1:8" x14ac:dyDescent="0.2">
      <c r="A215" s="1" t="s">
        <v>19</v>
      </c>
      <c r="B215" t="s">
        <v>281</v>
      </c>
      <c r="C215" t="str">
        <f t="shared" si="8"/>
        <v>Adjoint technique principal 1° classe 7</v>
      </c>
      <c r="D215" t="s">
        <v>289</v>
      </c>
      <c r="E215">
        <v>7</v>
      </c>
      <c r="G215">
        <v>420</v>
      </c>
      <c r="H215" t="s">
        <v>74</v>
      </c>
    </row>
    <row r="216" spans="1:8" x14ac:dyDescent="0.2">
      <c r="A216" s="1" t="s">
        <v>19</v>
      </c>
      <c r="B216" t="s">
        <v>281</v>
      </c>
      <c r="C216" t="str">
        <f t="shared" si="8"/>
        <v>Adjoint technique principal 1° classe 8</v>
      </c>
      <c r="D216" t="s">
        <v>289</v>
      </c>
      <c r="E216">
        <v>8</v>
      </c>
      <c r="G216">
        <v>435</v>
      </c>
      <c r="H216" t="s">
        <v>74</v>
      </c>
    </row>
    <row r="217" spans="1:8" x14ac:dyDescent="0.2">
      <c r="A217" s="1" t="s">
        <v>19</v>
      </c>
      <c r="B217" t="s">
        <v>281</v>
      </c>
      <c r="C217" t="str">
        <f t="shared" si="8"/>
        <v>Adjoint technique principal 1° classe 9</v>
      </c>
      <c r="D217" t="s">
        <v>289</v>
      </c>
      <c r="E217">
        <v>9</v>
      </c>
      <c r="G217">
        <v>455</v>
      </c>
      <c r="H217" t="s">
        <v>74</v>
      </c>
    </row>
    <row r="218" spans="1:8" x14ac:dyDescent="0.2">
      <c r="A218" s="1" t="s">
        <v>19</v>
      </c>
      <c r="B218" t="s">
        <v>281</v>
      </c>
      <c r="C218" t="str">
        <f t="shared" si="8"/>
        <v>Adjoint technique principal 1° classe 10</v>
      </c>
      <c r="D218" t="s">
        <v>289</v>
      </c>
      <c r="E218">
        <v>10</v>
      </c>
      <c r="G218">
        <v>478</v>
      </c>
      <c r="H218" t="s">
        <v>74</v>
      </c>
    </row>
    <row r="219" spans="1:8" x14ac:dyDescent="0.2">
      <c r="A219" t="s">
        <v>19</v>
      </c>
      <c r="B219" t="s">
        <v>306</v>
      </c>
      <c r="C219" t="str">
        <f t="shared" si="8"/>
        <v>Animateur1</v>
      </c>
      <c r="D219" t="s">
        <v>183</v>
      </c>
      <c r="E219">
        <v>1</v>
      </c>
      <c r="G219">
        <v>373</v>
      </c>
      <c r="H219" t="s">
        <v>8</v>
      </c>
    </row>
    <row r="220" spans="1:8" x14ac:dyDescent="0.2">
      <c r="A220" t="s">
        <v>19</v>
      </c>
      <c r="B220" t="s">
        <v>306</v>
      </c>
      <c r="C220" t="str">
        <f t="shared" si="8"/>
        <v>Animateur2</v>
      </c>
      <c r="D220" t="s">
        <v>183</v>
      </c>
      <c r="E220">
        <v>2</v>
      </c>
      <c r="G220">
        <v>374</v>
      </c>
      <c r="H220" t="s">
        <v>8</v>
      </c>
    </row>
    <row r="221" spans="1:8" x14ac:dyDescent="0.2">
      <c r="A221" t="s">
        <v>19</v>
      </c>
      <c r="B221" t="s">
        <v>306</v>
      </c>
      <c r="C221" t="str">
        <f t="shared" si="8"/>
        <v>Animateur3</v>
      </c>
      <c r="D221" t="s">
        <v>183</v>
      </c>
      <c r="E221">
        <v>3</v>
      </c>
      <c r="G221">
        <v>375</v>
      </c>
      <c r="H221" t="s">
        <v>8</v>
      </c>
    </row>
    <row r="222" spans="1:8" x14ac:dyDescent="0.2">
      <c r="A222" t="s">
        <v>19</v>
      </c>
      <c r="B222" t="s">
        <v>306</v>
      </c>
      <c r="C222" t="str">
        <f t="shared" si="8"/>
        <v>Animateur4</v>
      </c>
      <c r="D222" t="s">
        <v>183</v>
      </c>
      <c r="E222">
        <v>4</v>
      </c>
      <c r="G222">
        <v>376</v>
      </c>
      <c r="H222" t="s">
        <v>8</v>
      </c>
    </row>
    <row r="223" spans="1:8" x14ac:dyDescent="0.2">
      <c r="A223" t="s">
        <v>19</v>
      </c>
      <c r="B223" t="s">
        <v>306</v>
      </c>
      <c r="C223" t="str">
        <f t="shared" si="8"/>
        <v>Animateur5</v>
      </c>
      <c r="D223" t="s">
        <v>183</v>
      </c>
      <c r="E223">
        <v>5</v>
      </c>
      <c r="G223">
        <v>377</v>
      </c>
      <c r="H223" t="s">
        <v>8</v>
      </c>
    </row>
    <row r="224" spans="1:8" x14ac:dyDescent="0.2">
      <c r="A224" t="s">
        <v>19</v>
      </c>
      <c r="B224" t="s">
        <v>306</v>
      </c>
      <c r="C224" t="str">
        <f t="shared" si="8"/>
        <v>Animateur6</v>
      </c>
      <c r="D224" t="s">
        <v>183</v>
      </c>
      <c r="E224">
        <v>6</v>
      </c>
      <c r="G224">
        <v>386</v>
      </c>
      <c r="H224" t="s">
        <v>8</v>
      </c>
    </row>
    <row r="225" spans="1:8" x14ac:dyDescent="0.2">
      <c r="A225" t="s">
        <v>19</v>
      </c>
      <c r="B225" t="s">
        <v>306</v>
      </c>
      <c r="C225" t="str">
        <f t="shared" si="8"/>
        <v>Animateur7</v>
      </c>
      <c r="D225" t="s">
        <v>183</v>
      </c>
      <c r="E225">
        <v>7</v>
      </c>
      <c r="G225">
        <v>401</v>
      </c>
      <c r="H225" t="s">
        <v>8</v>
      </c>
    </row>
    <row r="226" spans="1:8" x14ac:dyDescent="0.2">
      <c r="A226" t="s">
        <v>19</v>
      </c>
      <c r="B226" t="s">
        <v>306</v>
      </c>
      <c r="C226" t="str">
        <f t="shared" si="8"/>
        <v>Animateur8</v>
      </c>
      <c r="D226" t="s">
        <v>183</v>
      </c>
      <c r="E226">
        <v>8</v>
      </c>
      <c r="G226">
        <v>420</v>
      </c>
      <c r="H226" t="s">
        <v>8</v>
      </c>
    </row>
    <row r="227" spans="1:8" x14ac:dyDescent="0.2">
      <c r="A227" t="s">
        <v>19</v>
      </c>
      <c r="B227" t="s">
        <v>306</v>
      </c>
      <c r="C227" t="str">
        <f t="shared" si="8"/>
        <v>Animateur9</v>
      </c>
      <c r="D227" t="s">
        <v>183</v>
      </c>
      <c r="E227">
        <v>9</v>
      </c>
      <c r="G227">
        <v>436</v>
      </c>
      <c r="H227" t="s">
        <v>8</v>
      </c>
    </row>
    <row r="228" spans="1:8" x14ac:dyDescent="0.2">
      <c r="A228" t="s">
        <v>19</v>
      </c>
      <c r="B228" t="s">
        <v>306</v>
      </c>
      <c r="C228" t="str">
        <f t="shared" si="8"/>
        <v>Animateur10</v>
      </c>
      <c r="D228" t="s">
        <v>183</v>
      </c>
      <c r="E228">
        <v>10</v>
      </c>
      <c r="G228">
        <v>446</v>
      </c>
      <c r="H228" t="s">
        <v>8</v>
      </c>
    </row>
    <row r="229" spans="1:8" x14ac:dyDescent="0.2">
      <c r="A229" t="s">
        <v>19</v>
      </c>
      <c r="B229" t="s">
        <v>306</v>
      </c>
      <c r="C229" t="str">
        <f t="shared" si="8"/>
        <v>Animateur11</v>
      </c>
      <c r="D229" t="s">
        <v>183</v>
      </c>
      <c r="E229">
        <v>11</v>
      </c>
      <c r="G229">
        <v>462</v>
      </c>
      <c r="H229" t="s">
        <v>8</v>
      </c>
    </row>
    <row r="230" spans="1:8" x14ac:dyDescent="0.2">
      <c r="A230" t="s">
        <v>19</v>
      </c>
      <c r="B230" t="s">
        <v>306</v>
      </c>
      <c r="C230" t="str">
        <f t="shared" si="8"/>
        <v>Animateur12</v>
      </c>
      <c r="D230" t="s">
        <v>183</v>
      </c>
      <c r="E230">
        <v>12</v>
      </c>
      <c r="G230">
        <v>482</v>
      </c>
      <c r="H230" t="s">
        <v>8</v>
      </c>
    </row>
    <row r="231" spans="1:8" x14ac:dyDescent="0.2">
      <c r="A231" t="s">
        <v>19</v>
      </c>
      <c r="B231" t="s">
        <v>306</v>
      </c>
      <c r="C231" t="str">
        <f t="shared" si="8"/>
        <v>Animateur13</v>
      </c>
      <c r="D231" t="s">
        <v>183</v>
      </c>
      <c r="E231">
        <v>13</v>
      </c>
      <c r="G231">
        <v>508</v>
      </c>
      <c r="H231" t="s">
        <v>8</v>
      </c>
    </row>
    <row r="232" spans="1:8" x14ac:dyDescent="0.2">
      <c r="A232" t="s">
        <v>19</v>
      </c>
      <c r="B232" t="s">
        <v>306</v>
      </c>
      <c r="C232" t="str">
        <f t="shared" si="8"/>
        <v>Animateur principal 2° classe1</v>
      </c>
      <c r="D232" t="s">
        <v>309</v>
      </c>
      <c r="E232">
        <v>1</v>
      </c>
      <c r="G232">
        <v>376</v>
      </c>
      <c r="H232" t="s">
        <v>8</v>
      </c>
    </row>
    <row r="233" spans="1:8" x14ac:dyDescent="0.2">
      <c r="A233" t="s">
        <v>19</v>
      </c>
      <c r="B233" t="s">
        <v>306</v>
      </c>
      <c r="C233" t="str">
        <f t="shared" si="8"/>
        <v>Animateur principal 2° classe2</v>
      </c>
      <c r="D233" t="s">
        <v>309</v>
      </c>
      <c r="E233">
        <v>2</v>
      </c>
      <c r="G233">
        <v>377</v>
      </c>
      <c r="H233" t="s">
        <v>8</v>
      </c>
    </row>
    <row r="234" spans="1:8" x14ac:dyDescent="0.2">
      <c r="A234" t="s">
        <v>19</v>
      </c>
      <c r="B234" t="s">
        <v>306</v>
      </c>
      <c r="C234" t="str">
        <f t="shared" si="8"/>
        <v>Animateur principal 2° classe3</v>
      </c>
      <c r="D234" t="s">
        <v>309</v>
      </c>
      <c r="E234">
        <v>3</v>
      </c>
      <c r="G234">
        <v>384</v>
      </c>
      <c r="H234" t="s">
        <v>8</v>
      </c>
    </row>
    <row r="235" spans="1:8" x14ac:dyDescent="0.2">
      <c r="A235" t="s">
        <v>19</v>
      </c>
      <c r="B235" t="s">
        <v>306</v>
      </c>
      <c r="C235" t="str">
        <f t="shared" si="8"/>
        <v>Animateur principal 2° classe4</v>
      </c>
      <c r="D235" t="s">
        <v>309</v>
      </c>
      <c r="E235">
        <v>4</v>
      </c>
      <c r="G235">
        <v>395</v>
      </c>
      <c r="H235" t="s">
        <v>8</v>
      </c>
    </row>
    <row r="236" spans="1:8" x14ac:dyDescent="0.2">
      <c r="A236" t="s">
        <v>19</v>
      </c>
      <c r="B236" t="s">
        <v>306</v>
      </c>
      <c r="C236" t="str">
        <f t="shared" si="8"/>
        <v>Animateur principal 2° classe5</v>
      </c>
      <c r="D236" t="s">
        <v>309</v>
      </c>
      <c r="E236">
        <v>5</v>
      </c>
      <c r="G236">
        <v>406</v>
      </c>
      <c r="H236" t="s">
        <v>8</v>
      </c>
    </row>
    <row r="237" spans="1:8" x14ac:dyDescent="0.2">
      <c r="A237" t="s">
        <v>19</v>
      </c>
      <c r="B237" t="s">
        <v>306</v>
      </c>
      <c r="C237" t="str">
        <f t="shared" si="8"/>
        <v>Animateur principal 2° classe6</v>
      </c>
      <c r="D237" t="s">
        <v>309</v>
      </c>
      <c r="E237">
        <v>6</v>
      </c>
      <c r="G237">
        <v>421</v>
      </c>
      <c r="H237" t="s">
        <v>8</v>
      </c>
    </row>
    <row r="238" spans="1:8" x14ac:dyDescent="0.2">
      <c r="A238" t="s">
        <v>19</v>
      </c>
      <c r="B238" t="s">
        <v>306</v>
      </c>
      <c r="C238" t="str">
        <f t="shared" si="8"/>
        <v>Animateur principal 2° classe7</v>
      </c>
      <c r="D238" t="s">
        <v>309</v>
      </c>
      <c r="E238">
        <v>7</v>
      </c>
      <c r="G238">
        <v>441</v>
      </c>
      <c r="H238" t="s">
        <v>8</v>
      </c>
    </row>
    <row r="239" spans="1:8" x14ac:dyDescent="0.2">
      <c r="A239" t="s">
        <v>19</v>
      </c>
      <c r="B239" t="s">
        <v>306</v>
      </c>
      <c r="C239" t="str">
        <f t="shared" si="8"/>
        <v>Animateur principal 2° classe8</v>
      </c>
      <c r="D239" t="s">
        <v>309</v>
      </c>
      <c r="E239">
        <v>8</v>
      </c>
      <c r="G239">
        <v>457</v>
      </c>
      <c r="H239" t="s">
        <v>8</v>
      </c>
    </row>
    <row r="240" spans="1:8" x14ac:dyDescent="0.2">
      <c r="A240" t="s">
        <v>19</v>
      </c>
      <c r="B240" t="s">
        <v>306</v>
      </c>
      <c r="C240" t="str">
        <f t="shared" si="8"/>
        <v>Animateur principal 2° classe9</v>
      </c>
      <c r="D240" t="s">
        <v>309</v>
      </c>
      <c r="E240">
        <v>9</v>
      </c>
      <c r="G240">
        <v>466</v>
      </c>
      <c r="H240" t="s">
        <v>8</v>
      </c>
    </row>
    <row r="241" spans="1:8" x14ac:dyDescent="0.2">
      <c r="A241" t="s">
        <v>19</v>
      </c>
      <c r="B241" t="s">
        <v>306</v>
      </c>
      <c r="C241" t="str">
        <f t="shared" si="8"/>
        <v>Animateur principal 2° classe10</v>
      </c>
      <c r="D241" t="s">
        <v>309</v>
      </c>
      <c r="E241">
        <v>10</v>
      </c>
      <c r="G241">
        <v>485</v>
      </c>
      <c r="H241" t="s">
        <v>8</v>
      </c>
    </row>
    <row r="242" spans="1:8" x14ac:dyDescent="0.2">
      <c r="A242" t="s">
        <v>19</v>
      </c>
      <c r="B242" t="s">
        <v>306</v>
      </c>
      <c r="C242" t="str">
        <f t="shared" si="8"/>
        <v>Animateur principal 2° classe11</v>
      </c>
      <c r="D242" t="s">
        <v>309</v>
      </c>
      <c r="E242">
        <v>11</v>
      </c>
      <c r="G242">
        <v>509</v>
      </c>
      <c r="H242" t="s">
        <v>8</v>
      </c>
    </row>
    <row r="243" spans="1:8" x14ac:dyDescent="0.2">
      <c r="A243" t="s">
        <v>19</v>
      </c>
      <c r="B243" t="s">
        <v>306</v>
      </c>
      <c r="C243" t="str">
        <f t="shared" si="8"/>
        <v>Animateur principal 2° classe12</v>
      </c>
      <c r="D243" t="s">
        <v>309</v>
      </c>
      <c r="E243">
        <v>12</v>
      </c>
      <c r="G243">
        <v>539</v>
      </c>
      <c r="H243" t="s">
        <v>8</v>
      </c>
    </row>
    <row r="244" spans="1:8" x14ac:dyDescent="0.2">
      <c r="A244" t="s">
        <v>19</v>
      </c>
      <c r="B244" t="s">
        <v>306</v>
      </c>
      <c r="C244" t="str">
        <f t="shared" si="8"/>
        <v>Animateur principal 1° classe1</v>
      </c>
      <c r="D244" t="s">
        <v>310</v>
      </c>
      <c r="E244">
        <v>1</v>
      </c>
      <c r="G244">
        <v>397</v>
      </c>
      <c r="H244" t="s">
        <v>8</v>
      </c>
    </row>
    <row r="245" spans="1:8" x14ac:dyDescent="0.2">
      <c r="A245" t="s">
        <v>19</v>
      </c>
      <c r="B245" t="s">
        <v>306</v>
      </c>
      <c r="C245" t="str">
        <f t="shared" si="8"/>
        <v>Animateur principal 1° classe2</v>
      </c>
      <c r="D245" t="s">
        <v>310</v>
      </c>
      <c r="E245">
        <v>2</v>
      </c>
      <c r="G245">
        <v>409</v>
      </c>
      <c r="H245" t="s">
        <v>8</v>
      </c>
    </row>
    <row r="246" spans="1:8" x14ac:dyDescent="0.2">
      <c r="A246" t="s">
        <v>19</v>
      </c>
      <c r="B246" t="s">
        <v>306</v>
      </c>
      <c r="C246" t="str">
        <f t="shared" si="8"/>
        <v>Animateur principal 1° classe3</v>
      </c>
      <c r="D246" t="s">
        <v>310</v>
      </c>
      <c r="E246">
        <v>3</v>
      </c>
      <c r="G246">
        <v>424</v>
      </c>
      <c r="H246" t="s">
        <v>8</v>
      </c>
    </row>
    <row r="247" spans="1:8" x14ac:dyDescent="0.2">
      <c r="A247" t="s">
        <v>19</v>
      </c>
      <c r="B247" t="s">
        <v>306</v>
      </c>
      <c r="C247" t="str">
        <f t="shared" si="8"/>
        <v>Animateur principal 1° classe4</v>
      </c>
      <c r="D247" t="s">
        <v>310</v>
      </c>
      <c r="E247">
        <v>4</v>
      </c>
      <c r="G247">
        <v>446</v>
      </c>
      <c r="H247" t="s">
        <v>8</v>
      </c>
    </row>
    <row r="248" spans="1:8" x14ac:dyDescent="0.2">
      <c r="A248" t="s">
        <v>19</v>
      </c>
      <c r="B248" t="s">
        <v>306</v>
      </c>
      <c r="C248" t="str">
        <f t="shared" si="8"/>
        <v>Animateur principal 1° classe5</v>
      </c>
      <c r="D248" t="s">
        <v>310</v>
      </c>
      <c r="E248">
        <v>5</v>
      </c>
      <c r="G248">
        <v>470</v>
      </c>
      <c r="H248" t="s">
        <v>8</v>
      </c>
    </row>
    <row r="249" spans="1:8" x14ac:dyDescent="0.2">
      <c r="A249" t="s">
        <v>19</v>
      </c>
      <c r="B249" t="s">
        <v>306</v>
      </c>
      <c r="C249" t="str">
        <f t="shared" si="8"/>
        <v>Animateur principal 1° classe6</v>
      </c>
      <c r="D249" t="s">
        <v>310</v>
      </c>
      <c r="E249">
        <v>6</v>
      </c>
      <c r="G249">
        <v>489</v>
      </c>
      <c r="H249" t="s">
        <v>8</v>
      </c>
    </row>
    <row r="250" spans="1:8" x14ac:dyDescent="0.2">
      <c r="A250" t="s">
        <v>19</v>
      </c>
      <c r="B250" t="s">
        <v>306</v>
      </c>
      <c r="C250" t="str">
        <f t="shared" si="8"/>
        <v>Animateur principal 1° classe7</v>
      </c>
      <c r="D250" t="s">
        <v>310</v>
      </c>
      <c r="E250">
        <v>7</v>
      </c>
      <c r="G250">
        <v>513</v>
      </c>
      <c r="H250" t="s">
        <v>8</v>
      </c>
    </row>
    <row r="251" spans="1:8" x14ac:dyDescent="0.2">
      <c r="A251" t="s">
        <v>19</v>
      </c>
      <c r="B251" t="s">
        <v>306</v>
      </c>
      <c r="C251" t="str">
        <f t="shared" si="8"/>
        <v>Animateur principal 1° classe8</v>
      </c>
      <c r="D251" t="s">
        <v>310</v>
      </c>
      <c r="E251">
        <v>8</v>
      </c>
      <c r="G251">
        <v>539</v>
      </c>
      <c r="H251" t="s">
        <v>8</v>
      </c>
    </row>
    <row r="252" spans="1:8" x14ac:dyDescent="0.2">
      <c r="A252" t="s">
        <v>19</v>
      </c>
      <c r="B252" t="s">
        <v>306</v>
      </c>
      <c r="C252" t="str">
        <f t="shared" si="8"/>
        <v>Animateur principal 1° classe9</v>
      </c>
      <c r="D252" t="s">
        <v>310</v>
      </c>
      <c r="E252">
        <v>9</v>
      </c>
      <c r="G252">
        <v>556</v>
      </c>
      <c r="H252" t="s">
        <v>8</v>
      </c>
    </row>
    <row r="253" spans="1:8" x14ac:dyDescent="0.2">
      <c r="A253" t="s">
        <v>19</v>
      </c>
      <c r="B253" t="s">
        <v>306</v>
      </c>
      <c r="C253" t="str">
        <f t="shared" si="8"/>
        <v>Animateur principal 1° classe10</v>
      </c>
      <c r="D253" t="s">
        <v>310</v>
      </c>
      <c r="E253">
        <v>10</v>
      </c>
      <c r="G253">
        <v>574</v>
      </c>
      <c r="H253" t="s">
        <v>8</v>
      </c>
    </row>
    <row r="254" spans="1:8" x14ac:dyDescent="0.2">
      <c r="A254" t="s">
        <v>19</v>
      </c>
      <c r="B254" t="s">
        <v>306</v>
      </c>
      <c r="C254" t="str">
        <f t="shared" si="8"/>
        <v>Animateur principal 1° classe11</v>
      </c>
      <c r="D254" t="s">
        <v>310</v>
      </c>
      <c r="E254">
        <v>11</v>
      </c>
      <c r="G254">
        <v>592</v>
      </c>
      <c r="H254" t="s">
        <v>8</v>
      </c>
    </row>
    <row r="255" spans="1:8" x14ac:dyDescent="0.2">
      <c r="A255" t="s">
        <v>19</v>
      </c>
      <c r="B255" t="s">
        <v>308</v>
      </c>
      <c r="C255" t="str">
        <f t="shared" si="8"/>
        <v>Adjoint animation1</v>
      </c>
      <c r="D255" t="s">
        <v>311</v>
      </c>
      <c r="E255">
        <v>1</v>
      </c>
      <c r="G255">
        <v>366</v>
      </c>
      <c r="H255" t="s">
        <v>74</v>
      </c>
    </row>
    <row r="256" spans="1:8" x14ac:dyDescent="0.2">
      <c r="A256" t="s">
        <v>19</v>
      </c>
      <c r="B256" t="s">
        <v>308</v>
      </c>
      <c r="C256" t="str">
        <f t="shared" si="8"/>
        <v>Adjoint animation2</v>
      </c>
      <c r="D256" t="s">
        <v>311</v>
      </c>
      <c r="E256">
        <v>2</v>
      </c>
      <c r="G256">
        <v>367</v>
      </c>
      <c r="H256" t="s">
        <v>74</v>
      </c>
    </row>
    <row r="257" spans="1:8" x14ac:dyDescent="0.2">
      <c r="A257" t="s">
        <v>19</v>
      </c>
      <c r="B257" t="s">
        <v>308</v>
      </c>
      <c r="C257" t="str">
        <f t="shared" si="8"/>
        <v>Adjoint animation3</v>
      </c>
      <c r="D257" t="s">
        <v>311</v>
      </c>
      <c r="E257">
        <v>3</v>
      </c>
      <c r="G257">
        <v>368</v>
      </c>
      <c r="H257" t="s">
        <v>74</v>
      </c>
    </row>
    <row r="258" spans="1:8" x14ac:dyDescent="0.2">
      <c r="A258" t="s">
        <v>19</v>
      </c>
      <c r="B258" t="s">
        <v>308</v>
      </c>
      <c r="C258" t="str">
        <f t="shared" si="8"/>
        <v>Adjoint animation4</v>
      </c>
      <c r="D258" t="s">
        <v>311</v>
      </c>
      <c r="E258">
        <v>4</v>
      </c>
      <c r="G258">
        <v>369</v>
      </c>
      <c r="H258" t="s">
        <v>74</v>
      </c>
    </row>
    <row r="259" spans="1:8" x14ac:dyDescent="0.2">
      <c r="A259" t="s">
        <v>19</v>
      </c>
      <c r="B259" t="s">
        <v>308</v>
      </c>
      <c r="C259" t="str">
        <f t="shared" si="8"/>
        <v>Adjoint animation5</v>
      </c>
      <c r="D259" t="s">
        <v>311</v>
      </c>
      <c r="E259">
        <v>5</v>
      </c>
      <c r="G259">
        <v>370</v>
      </c>
      <c r="H259" t="s">
        <v>74</v>
      </c>
    </row>
    <row r="260" spans="1:8" x14ac:dyDescent="0.2">
      <c r="A260" t="s">
        <v>19</v>
      </c>
      <c r="B260" t="s">
        <v>308</v>
      </c>
      <c r="C260" t="str">
        <f t="shared" si="8"/>
        <v>Adjoint animation6</v>
      </c>
      <c r="D260" t="s">
        <v>311</v>
      </c>
      <c r="E260">
        <v>6</v>
      </c>
      <c r="G260">
        <v>371</v>
      </c>
      <c r="H260" t="s">
        <v>74</v>
      </c>
    </row>
    <row r="261" spans="1:8" x14ac:dyDescent="0.2">
      <c r="A261" t="s">
        <v>19</v>
      </c>
      <c r="B261" t="s">
        <v>308</v>
      </c>
      <c r="C261" t="str">
        <f t="shared" ref="C261:C288" si="9">D261&amp;E261</f>
        <v>Adjoint animation7</v>
      </c>
      <c r="D261" t="s">
        <v>311</v>
      </c>
      <c r="E261">
        <v>7</v>
      </c>
      <c r="G261">
        <v>372</v>
      </c>
      <c r="H261" t="s">
        <v>74</v>
      </c>
    </row>
    <row r="262" spans="1:8" x14ac:dyDescent="0.2">
      <c r="A262" t="s">
        <v>19</v>
      </c>
      <c r="B262" t="s">
        <v>308</v>
      </c>
      <c r="C262" t="str">
        <f t="shared" si="9"/>
        <v>Adjoint animation8</v>
      </c>
      <c r="D262" t="s">
        <v>311</v>
      </c>
      <c r="E262">
        <v>8</v>
      </c>
      <c r="G262">
        <v>373</v>
      </c>
      <c r="H262" t="s">
        <v>74</v>
      </c>
    </row>
    <row r="263" spans="1:8" x14ac:dyDescent="0.2">
      <c r="A263" t="s">
        <v>19</v>
      </c>
      <c r="B263" t="s">
        <v>308</v>
      </c>
      <c r="C263" t="str">
        <f t="shared" si="9"/>
        <v>Adjoint animation9</v>
      </c>
      <c r="D263" t="s">
        <v>311</v>
      </c>
      <c r="E263">
        <v>9</v>
      </c>
      <c r="G263">
        <v>376</v>
      </c>
      <c r="H263" t="s">
        <v>74</v>
      </c>
    </row>
    <row r="264" spans="1:8" x14ac:dyDescent="0.2">
      <c r="A264" t="s">
        <v>19</v>
      </c>
      <c r="B264" t="s">
        <v>308</v>
      </c>
      <c r="C264" t="str">
        <f t="shared" si="9"/>
        <v>Adjoint animation10</v>
      </c>
      <c r="D264" t="s">
        <v>311</v>
      </c>
      <c r="E264">
        <v>10</v>
      </c>
      <c r="G264">
        <v>377</v>
      </c>
      <c r="H264" t="s">
        <v>74</v>
      </c>
    </row>
    <row r="265" spans="1:8" x14ac:dyDescent="0.2">
      <c r="A265" t="s">
        <v>19</v>
      </c>
      <c r="B265" t="s">
        <v>308</v>
      </c>
      <c r="C265" t="str">
        <f t="shared" si="9"/>
        <v>Adjoint animation11</v>
      </c>
      <c r="D265" t="s">
        <v>311</v>
      </c>
      <c r="E265">
        <v>11</v>
      </c>
      <c r="G265">
        <v>387</v>
      </c>
      <c r="H265" t="s">
        <v>74</v>
      </c>
    </row>
    <row r="266" spans="1:8" x14ac:dyDescent="0.2">
      <c r="A266" t="s">
        <v>19</v>
      </c>
      <c r="B266" t="s">
        <v>308</v>
      </c>
      <c r="C266" t="str">
        <f t="shared" si="9"/>
        <v>Adjoint animation principal 2° classe 1</v>
      </c>
      <c r="D266" t="s">
        <v>312</v>
      </c>
      <c r="E266">
        <v>1</v>
      </c>
      <c r="G266">
        <v>367</v>
      </c>
      <c r="H266" t="s">
        <v>74</v>
      </c>
    </row>
    <row r="267" spans="1:8" x14ac:dyDescent="0.2">
      <c r="A267" t="s">
        <v>19</v>
      </c>
      <c r="B267" t="s">
        <v>308</v>
      </c>
      <c r="C267" t="str">
        <f t="shared" si="9"/>
        <v>Adjoint animation principal 2° classe 2</v>
      </c>
      <c r="D267" t="s">
        <v>312</v>
      </c>
      <c r="E267">
        <v>2</v>
      </c>
      <c r="G267">
        <v>369</v>
      </c>
      <c r="H267" t="s">
        <v>74</v>
      </c>
    </row>
    <row r="268" spans="1:8" x14ac:dyDescent="0.2">
      <c r="A268" t="s">
        <v>19</v>
      </c>
      <c r="B268" t="s">
        <v>308</v>
      </c>
      <c r="C268" t="str">
        <f t="shared" si="9"/>
        <v>Adjoint animation principal 2° classe 3</v>
      </c>
      <c r="D268" t="s">
        <v>312</v>
      </c>
      <c r="E268">
        <v>3</v>
      </c>
      <c r="G268">
        <v>370</v>
      </c>
      <c r="H268" t="s">
        <v>74</v>
      </c>
    </row>
    <row r="269" spans="1:8" x14ac:dyDescent="0.2">
      <c r="A269" t="s">
        <v>19</v>
      </c>
      <c r="B269" t="s">
        <v>308</v>
      </c>
      <c r="C269" t="str">
        <f t="shared" si="9"/>
        <v>Adjoint animation principal 2° classe 4</v>
      </c>
      <c r="D269" t="s">
        <v>312</v>
      </c>
      <c r="E269">
        <v>4</v>
      </c>
      <c r="G269">
        <v>373</v>
      </c>
      <c r="H269" t="s">
        <v>74</v>
      </c>
    </row>
    <row r="270" spans="1:8" x14ac:dyDescent="0.2">
      <c r="A270" t="s">
        <v>19</v>
      </c>
      <c r="B270" t="s">
        <v>308</v>
      </c>
      <c r="C270" t="str">
        <f t="shared" si="9"/>
        <v>Adjoint animation principal 2° classe 5</v>
      </c>
      <c r="D270" t="s">
        <v>312</v>
      </c>
      <c r="E270">
        <v>5</v>
      </c>
      <c r="G270">
        <v>374</v>
      </c>
      <c r="H270" t="s">
        <v>74</v>
      </c>
    </row>
    <row r="271" spans="1:8" x14ac:dyDescent="0.2">
      <c r="A271" t="s">
        <v>19</v>
      </c>
      <c r="B271" t="s">
        <v>308</v>
      </c>
      <c r="C271" t="str">
        <f t="shared" si="9"/>
        <v>Adjoint animation principal 2° classe 6</v>
      </c>
      <c r="D271" t="s">
        <v>312</v>
      </c>
      <c r="E271">
        <v>6</v>
      </c>
      <c r="G271">
        <v>376</v>
      </c>
      <c r="H271" t="s">
        <v>74</v>
      </c>
    </row>
    <row r="272" spans="1:8" x14ac:dyDescent="0.2">
      <c r="A272" t="s">
        <v>19</v>
      </c>
      <c r="B272" t="s">
        <v>308</v>
      </c>
      <c r="C272" t="str">
        <f t="shared" si="9"/>
        <v>Adjoint animation principal 2° classe 7</v>
      </c>
      <c r="D272" t="s">
        <v>312</v>
      </c>
      <c r="E272">
        <v>7</v>
      </c>
      <c r="G272">
        <v>377</v>
      </c>
      <c r="H272" t="s">
        <v>74</v>
      </c>
    </row>
    <row r="273" spans="1:8" x14ac:dyDescent="0.2">
      <c r="A273" t="s">
        <v>19</v>
      </c>
      <c r="B273" t="s">
        <v>308</v>
      </c>
      <c r="C273" t="str">
        <f t="shared" si="9"/>
        <v>Adjoint animation principal 2° classe 8</v>
      </c>
      <c r="D273" t="s">
        <v>312</v>
      </c>
      <c r="E273">
        <v>8</v>
      </c>
      <c r="G273">
        <v>385</v>
      </c>
      <c r="H273" t="s">
        <v>74</v>
      </c>
    </row>
    <row r="274" spans="1:8" x14ac:dyDescent="0.2">
      <c r="A274" t="s">
        <v>19</v>
      </c>
      <c r="B274" t="s">
        <v>308</v>
      </c>
      <c r="C274" t="str">
        <f t="shared" si="9"/>
        <v>Adjoint animation principal 2° classe 9</v>
      </c>
      <c r="D274" t="s">
        <v>312</v>
      </c>
      <c r="E274">
        <v>9</v>
      </c>
      <c r="G274">
        <v>397</v>
      </c>
      <c r="H274" t="s">
        <v>74</v>
      </c>
    </row>
    <row r="275" spans="1:8" x14ac:dyDescent="0.2">
      <c r="A275" t="s">
        <v>19</v>
      </c>
      <c r="B275" t="s">
        <v>308</v>
      </c>
      <c r="C275" t="str">
        <f t="shared" si="9"/>
        <v>Adjoint animation principal 2° classe 10</v>
      </c>
      <c r="D275" t="s">
        <v>312</v>
      </c>
      <c r="E275">
        <v>10</v>
      </c>
      <c r="G275">
        <v>409</v>
      </c>
      <c r="H275" t="s">
        <v>74</v>
      </c>
    </row>
    <row r="276" spans="1:8" x14ac:dyDescent="0.2">
      <c r="A276" t="s">
        <v>19</v>
      </c>
      <c r="B276" t="s">
        <v>308</v>
      </c>
      <c r="C276" t="str">
        <f t="shared" si="9"/>
        <v>Adjoint animation principal 2° classe 11</v>
      </c>
      <c r="D276" t="s">
        <v>312</v>
      </c>
      <c r="E276">
        <v>11</v>
      </c>
      <c r="G276">
        <v>417</v>
      </c>
      <c r="H276" t="s">
        <v>74</v>
      </c>
    </row>
    <row r="277" spans="1:8" x14ac:dyDescent="0.2">
      <c r="A277" t="s">
        <v>19</v>
      </c>
      <c r="B277" t="s">
        <v>308</v>
      </c>
      <c r="C277" t="str">
        <f t="shared" si="9"/>
        <v>Adjoint animation principal 2° classe 12</v>
      </c>
      <c r="D277" t="s">
        <v>312</v>
      </c>
      <c r="E277">
        <v>12</v>
      </c>
      <c r="G277">
        <v>425</v>
      </c>
      <c r="H277" t="s">
        <v>74</v>
      </c>
    </row>
    <row r="278" spans="1:8" x14ac:dyDescent="0.2">
      <c r="A278" t="s">
        <v>19</v>
      </c>
      <c r="B278" t="s">
        <v>308</v>
      </c>
      <c r="C278" t="str">
        <f t="shared" si="9"/>
        <v>Adjoint animation principal 1° classe 1</v>
      </c>
      <c r="D278" t="s">
        <v>313</v>
      </c>
      <c r="E278">
        <v>1</v>
      </c>
      <c r="G278">
        <v>373</v>
      </c>
      <c r="H278" t="s">
        <v>74</v>
      </c>
    </row>
    <row r="279" spans="1:8" x14ac:dyDescent="0.2">
      <c r="A279" t="s">
        <v>19</v>
      </c>
      <c r="B279" t="s">
        <v>308</v>
      </c>
      <c r="C279" t="str">
        <f t="shared" si="9"/>
        <v>Adjoint animation principal 1° classe 2</v>
      </c>
      <c r="D279" t="s">
        <v>313</v>
      </c>
      <c r="E279">
        <v>2</v>
      </c>
      <c r="G279">
        <v>375</v>
      </c>
      <c r="H279" t="s">
        <v>74</v>
      </c>
    </row>
    <row r="280" spans="1:8" x14ac:dyDescent="0.2">
      <c r="A280" t="s">
        <v>19</v>
      </c>
      <c r="B280" t="s">
        <v>308</v>
      </c>
      <c r="C280" t="str">
        <f t="shared" si="9"/>
        <v>Adjoint animation principal 1° classe 3</v>
      </c>
      <c r="D280" t="s">
        <v>313</v>
      </c>
      <c r="E280">
        <v>3</v>
      </c>
      <c r="G280">
        <v>376</v>
      </c>
      <c r="H280" t="s">
        <v>74</v>
      </c>
    </row>
    <row r="281" spans="1:8" x14ac:dyDescent="0.2">
      <c r="A281" t="s">
        <v>19</v>
      </c>
      <c r="B281" t="s">
        <v>308</v>
      </c>
      <c r="C281" t="str">
        <f t="shared" si="9"/>
        <v>Adjoint animation principal 1° classe 4</v>
      </c>
      <c r="D281" t="s">
        <v>313</v>
      </c>
      <c r="E281">
        <v>4</v>
      </c>
      <c r="G281">
        <v>385</v>
      </c>
      <c r="H281" t="s">
        <v>74</v>
      </c>
    </row>
    <row r="282" spans="1:8" x14ac:dyDescent="0.2">
      <c r="A282" t="s">
        <v>19</v>
      </c>
      <c r="B282" t="s">
        <v>308</v>
      </c>
      <c r="C282" t="str">
        <f t="shared" si="9"/>
        <v>Adjoint animation principal 1° classe 5</v>
      </c>
      <c r="D282" t="s">
        <v>313</v>
      </c>
      <c r="E282">
        <v>5</v>
      </c>
      <c r="G282">
        <v>398</v>
      </c>
      <c r="H282" t="s">
        <v>74</v>
      </c>
    </row>
    <row r="283" spans="1:8" x14ac:dyDescent="0.2">
      <c r="A283" t="s">
        <v>19</v>
      </c>
      <c r="B283" t="s">
        <v>308</v>
      </c>
      <c r="C283" t="str">
        <f t="shared" si="9"/>
        <v>Adjoint animation principal 1° classe 6</v>
      </c>
      <c r="D283" t="s">
        <v>313</v>
      </c>
      <c r="E283">
        <v>6</v>
      </c>
      <c r="G283">
        <v>408</v>
      </c>
      <c r="H283" t="s">
        <v>74</v>
      </c>
    </row>
    <row r="284" spans="1:8" x14ac:dyDescent="0.2">
      <c r="A284" t="s">
        <v>19</v>
      </c>
      <c r="B284" t="s">
        <v>308</v>
      </c>
      <c r="C284" t="str">
        <f t="shared" si="9"/>
        <v>Adjoint animation principal 1° classe 7</v>
      </c>
      <c r="D284" t="s">
        <v>313</v>
      </c>
      <c r="E284">
        <v>7</v>
      </c>
      <c r="G284">
        <v>420</v>
      </c>
      <c r="H284" t="s">
        <v>74</v>
      </c>
    </row>
    <row r="285" spans="1:8" x14ac:dyDescent="0.2">
      <c r="A285" t="s">
        <v>19</v>
      </c>
      <c r="B285" t="s">
        <v>308</v>
      </c>
      <c r="C285" t="str">
        <f t="shared" si="9"/>
        <v>Adjoint animation principal 1° classe 8</v>
      </c>
      <c r="D285" t="s">
        <v>313</v>
      </c>
      <c r="E285">
        <v>8</v>
      </c>
      <c r="G285">
        <v>435</v>
      </c>
      <c r="H285" t="s">
        <v>74</v>
      </c>
    </row>
    <row r="286" spans="1:8" x14ac:dyDescent="0.2">
      <c r="A286" t="s">
        <v>19</v>
      </c>
      <c r="B286" t="s">
        <v>308</v>
      </c>
      <c r="C286" t="str">
        <f t="shared" si="9"/>
        <v>Adjoint animation principal 1° classe 9</v>
      </c>
      <c r="D286" t="s">
        <v>313</v>
      </c>
      <c r="E286">
        <v>9</v>
      </c>
      <c r="G286">
        <v>455</v>
      </c>
      <c r="H286" t="s">
        <v>74</v>
      </c>
    </row>
    <row r="287" spans="1:8" x14ac:dyDescent="0.2">
      <c r="A287" t="s">
        <v>19</v>
      </c>
      <c r="B287" t="s">
        <v>308</v>
      </c>
      <c r="C287" t="str">
        <f t="shared" si="9"/>
        <v>Adjoint animation principal 1° classe 10</v>
      </c>
      <c r="D287" t="s">
        <v>313</v>
      </c>
      <c r="E287">
        <v>10</v>
      </c>
      <c r="G287">
        <v>478</v>
      </c>
      <c r="H287" t="s">
        <v>74</v>
      </c>
    </row>
    <row r="288" spans="1:8" x14ac:dyDescent="0.2">
      <c r="A288" t="s">
        <v>303</v>
      </c>
      <c r="B288" t="s">
        <v>317</v>
      </c>
      <c r="C288" t="str">
        <f t="shared" si="9"/>
        <v>Conseiller des APS1</v>
      </c>
      <c r="D288" t="s">
        <v>116</v>
      </c>
      <c r="E288">
        <v>1</v>
      </c>
      <c r="G288">
        <v>395</v>
      </c>
      <c r="H288" t="s">
        <v>15</v>
      </c>
    </row>
    <row r="289" spans="1:8" x14ac:dyDescent="0.2">
      <c r="A289" t="s">
        <v>303</v>
      </c>
      <c r="B289" t="s">
        <v>317</v>
      </c>
      <c r="C289" t="str">
        <f t="shared" ref="C289:C352" si="10">D289&amp;E289</f>
        <v>Conseiller des APS2</v>
      </c>
      <c r="D289" t="s">
        <v>116</v>
      </c>
      <c r="E289">
        <v>2</v>
      </c>
      <c r="G289">
        <v>415</v>
      </c>
      <c r="H289" t="s">
        <v>15</v>
      </c>
    </row>
    <row r="290" spans="1:8" x14ac:dyDescent="0.2">
      <c r="A290" t="s">
        <v>303</v>
      </c>
      <c r="B290" t="s">
        <v>317</v>
      </c>
      <c r="C290" t="str">
        <f t="shared" si="10"/>
        <v>Conseiller des APS3</v>
      </c>
      <c r="D290" t="s">
        <v>116</v>
      </c>
      <c r="E290">
        <v>3</v>
      </c>
      <c r="G290">
        <v>435</v>
      </c>
      <c r="H290" t="s">
        <v>15</v>
      </c>
    </row>
    <row r="291" spans="1:8" x14ac:dyDescent="0.2">
      <c r="A291" t="s">
        <v>303</v>
      </c>
      <c r="B291" t="s">
        <v>317</v>
      </c>
      <c r="C291" t="str">
        <f t="shared" si="10"/>
        <v>Conseiller des APS4</v>
      </c>
      <c r="D291" t="s">
        <v>116</v>
      </c>
      <c r="E291">
        <v>4</v>
      </c>
      <c r="G291">
        <v>455</v>
      </c>
      <c r="H291" t="s">
        <v>15</v>
      </c>
    </row>
    <row r="292" spans="1:8" x14ac:dyDescent="0.2">
      <c r="A292" t="s">
        <v>303</v>
      </c>
      <c r="B292" t="s">
        <v>317</v>
      </c>
      <c r="C292" t="str">
        <f t="shared" si="10"/>
        <v>Conseiller des APS5</v>
      </c>
      <c r="D292" t="s">
        <v>116</v>
      </c>
      <c r="E292">
        <v>5</v>
      </c>
      <c r="G292">
        <v>485</v>
      </c>
      <c r="H292" t="s">
        <v>15</v>
      </c>
    </row>
    <row r="293" spans="1:8" x14ac:dyDescent="0.2">
      <c r="A293" t="s">
        <v>303</v>
      </c>
      <c r="B293" t="s">
        <v>317</v>
      </c>
      <c r="C293" t="str">
        <f t="shared" si="10"/>
        <v>Conseiller des APS6</v>
      </c>
      <c r="D293" t="s">
        <v>116</v>
      </c>
      <c r="E293">
        <v>6</v>
      </c>
      <c r="G293">
        <v>518</v>
      </c>
      <c r="H293" t="s">
        <v>15</v>
      </c>
    </row>
    <row r="294" spans="1:8" x14ac:dyDescent="0.2">
      <c r="A294" t="s">
        <v>303</v>
      </c>
      <c r="B294" t="s">
        <v>317</v>
      </c>
      <c r="C294" t="str">
        <f t="shared" si="10"/>
        <v>Conseiller des APS7</v>
      </c>
      <c r="D294" t="s">
        <v>116</v>
      </c>
      <c r="E294">
        <v>7</v>
      </c>
      <c r="G294">
        <v>550</v>
      </c>
      <c r="H294" t="s">
        <v>15</v>
      </c>
    </row>
    <row r="295" spans="1:8" x14ac:dyDescent="0.2">
      <c r="A295" t="s">
        <v>303</v>
      </c>
      <c r="B295" t="s">
        <v>317</v>
      </c>
      <c r="C295" t="str">
        <f t="shared" si="10"/>
        <v>Conseiller des APS8</v>
      </c>
      <c r="D295" t="s">
        <v>116</v>
      </c>
      <c r="E295">
        <v>8</v>
      </c>
      <c r="G295">
        <v>580</v>
      </c>
      <c r="H295" t="s">
        <v>15</v>
      </c>
    </row>
    <row r="296" spans="1:8" x14ac:dyDescent="0.2">
      <c r="A296" t="s">
        <v>303</v>
      </c>
      <c r="B296" t="s">
        <v>317</v>
      </c>
      <c r="C296" t="str">
        <f t="shared" si="10"/>
        <v>Conseiller des APS9</v>
      </c>
      <c r="D296" t="s">
        <v>116</v>
      </c>
      <c r="E296">
        <v>9</v>
      </c>
      <c r="G296">
        <v>610</v>
      </c>
      <c r="H296" t="s">
        <v>15</v>
      </c>
    </row>
    <row r="297" spans="1:8" x14ac:dyDescent="0.2">
      <c r="A297" t="s">
        <v>303</v>
      </c>
      <c r="B297" t="s">
        <v>317</v>
      </c>
      <c r="C297" t="str">
        <f t="shared" si="10"/>
        <v>Conseiller des APS10</v>
      </c>
      <c r="D297" t="s">
        <v>116</v>
      </c>
      <c r="E297">
        <v>10</v>
      </c>
      <c r="G297">
        <v>645</v>
      </c>
      <c r="H297" t="s">
        <v>15</v>
      </c>
    </row>
    <row r="298" spans="1:8" x14ac:dyDescent="0.2">
      <c r="A298" t="s">
        <v>303</v>
      </c>
      <c r="B298" t="s">
        <v>317</v>
      </c>
      <c r="C298" t="str">
        <f t="shared" si="10"/>
        <v>Conseiller des APS11</v>
      </c>
      <c r="D298" t="s">
        <v>116</v>
      </c>
      <c r="E298">
        <v>11</v>
      </c>
      <c r="G298">
        <v>678</v>
      </c>
      <c r="H298" t="s">
        <v>15</v>
      </c>
    </row>
    <row r="299" spans="1:8" x14ac:dyDescent="0.2">
      <c r="A299" t="s">
        <v>303</v>
      </c>
      <c r="B299" t="s">
        <v>317</v>
      </c>
      <c r="C299" t="str">
        <f t="shared" si="10"/>
        <v>Conseiller principal des APS1</v>
      </c>
      <c r="D299" t="s">
        <v>114</v>
      </c>
      <c r="E299">
        <v>1</v>
      </c>
      <c r="G299">
        <v>505</v>
      </c>
      <c r="H299" t="s">
        <v>15</v>
      </c>
    </row>
    <row r="300" spans="1:8" x14ac:dyDescent="0.2">
      <c r="A300" t="s">
        <v>303</v>
      </c>
      <c r="B300" t="s">
        <v>317</v>
      </c>
      <c r="C300" t="str">
        <f t="shared" si="10"/>
        <v>Conseiller principal des APS2</v>
      </c>
      <c r="D300" t="s">
        <v>114</v>
      </c>
      <c r="E300">
        <v>2</v>
      </c>
      <c r="G300">
        <v>540</v>
      </c>
      <c r="H300" t="s">
        <v>15</v>
      </c>
    </row>
    <row r="301" spans="1:8" x14ac:dyDescent="0.2">
      <c r="A301" t="s">
        <v>303</v>
      </c>
      <c r="B301" t="s">
        <v>317</v>
      </c>
      <c r="C301" t="str">
        <f t="shared" si="10"/>
        <v>Conseiller principal des APS3</v>
      </c>
      <c r="D301" t="s">
        <v>114</v>
      </c>
      <c r="E301">
        <v>3</v>
      </c>
      <c r="G301">
        <v>580</v>
      </c>
      <c r="H301" t="s">
        <v>15</v>
      </c>
    </row>
    <row r="302" spans="1:8" x14ac:dyDescent="0.2">
      <c r="A302" t="s">
        <v>303</v>
      </c>
      <c r="B302" t="s">
        <v>317</v>
      </c>
      <c r="C302" t="str">
        <f t="shared" si="10"/>
        <v>Conseiller principal des APS4</v>
      </c>
      <c r="D302" t="s">
        <v>114</v>
      </c>
      <c r="E302">
        <v>4</v>
      </c>
      <c r="G302">
        <v>610</v>
      </c>
      <c r="H302" t="s">
        <v>15</v>
      </c>
    </row>
    <row r="303" spans="1:8" x14ac:dyDescent="0.2">
      <c r="A303" t="s">
        <v>303</v>
      </c>
      <c r="B303" t="s">
        <v>317</v>
      </c>
      <c r="C303" t="str">
        <f t="shared" si="10"/>
        <v>Conseiller principal des APS5</v>
      </c>
      <c r="D303" t="s">
        <v>114</v>
      </c>
      <c r="E303">
        <v>5</v>
      </c>
      <c r="G303">
        <v>655</v>
      </c>
      <c r="H303" t="s">
        <v>15</v>
      </c>
    </row>
    <row r="304" spans="1:8" x14ac:dyDescent="0.2">
      <c r="A304" t="s">
        <v>303</v>
      </c>
      <c r="B304" t="s">
        <v>317</v>
      </c>
      <c r="C304" t="str">
        <f t="shared" si="10"/>
        <v>Conseiller principal des APS6</v>
      </c>
      <c r="D304" t="s">
        <v>114</v>
      </c>
      <c r="E304">
        <v>6</v>
      </c>
      <c r="G304">
        <v>695</v>
      </c>
      <c r="H304" t="s">
        <v>15</v>
      </c>
    </row>
    <row r="305" spans="1:8" x14ac:dyDescent="0.2">
      <c r="A305" t="s">
        <v>303</v>
      </c>
      <c r="B305" t="s">
        <v>317</v>
      </c>
      <c r="C305" t="str">
        <f t="shared" si="10"/>
        <v>Conseiller principal des APS7</v>
      </c>
      <c r="D305" t="s">
        <v>114</v>
      </c>
      <c r="E305">
        <v>7</v>
      </c>
      <c r="G305">
        <v>735</v>
      </c>
      <c r="H305" t="s">
        <v>15</v>
      </c>
    </row>
    <row r="306" spans="1:8" x14ac:dyDescent="0.2">
      <c r="A306" t="s">
        <v>303</v>
      </c>
      <c r="B306" t="s">
        <v>317</v>
      </c>
      <c r="C306" t="str">
        <f t="shared" si="10"/>
        <v>Conseiller principal des APS8</v>
      </c>
      <c r="D306" t="s">
        <v>114</v>
      </c>
      <c r="E306">
        <v>8</v>
      </c>
      <c r="G306">
        <v>773</v>
      </c>
      <c r="H306" t="s">
        <v>15</v>
      </c>
    </row>
    <row r="307" spans="1:8" x14ac:dyDescent="0.2">
      <c r="A307" t="s">
        <v>303</v>
      </c>
      <c r="B307" t="s">
        <v>317</v>
      </c>
      <c r="C307" t="str">
        <f t="shared" si="10"/>
        <v>Conseiller principal des APS9</v>
      </c>
      <c r="D307" t="s">
        <v>114</v>
      </c>
      <c r="E307">
        <v>9</v>
      </c>
      <c r="G307">
        <v>811</v>
      </c>
      <c r="H307" t="s">
        <v>15</v>
      </c>
    </row>
    <row r="308" spans="1:8" x14ac:dyDescent="0.2">
      <c r="A308" t="s">
        <v>303</v>
      </c>
      <c r="B308" t="s">
        <v>317</v>
      </c>
      <c r="C308" t="str">
        <f t="shared" si="10"/>
        <v>Conseiller principal des APS10</v>
      </c>
      <c r="D308" t="s">
        <v>114</v>
      </c>
      <c r="E308">
        <v>10</v>
      </c>
      <c r="G308">
        <v>826</v>
      </c>
      <c r="H308" t="s">
        <v>15</v>
      </c>
    </row>
    <row r="309" spans="1:8" x14ac:dyDescent="0.2">
      <c r="A309" t="s">
        <v>303</v>
      </c>
      <c r="B309" t="s">
        <v>318</v>
      </c>
      <c r="C309" t="str">
        <f t="shared" si="10"/>
        <v>Educateur APS1</v>
      </c>
      <c r="D309" t="s">
        <v>179</v>
      </c>
      <c r="E309">
        <v>1</v>
      </c>
      <c r="G309">
        <v>373</v>
      </c>
      <c r="H309" t="s">
        <v>8</v>
      </c>
    </row>
    <row r="310" spans="1:8" x14ac:dyDescent="0.2">
      <c r="A310" t="s">
        <v>303</v>
      </c>
      <c r="B310" t="s">
        <v>318</v>
      </c>
      <c r="C310" t="str">
        <f t="shared" si="10"/>
        <v>Educateur APS2</v>
      </c>
      <c r="D310" t="s">
        <v>179</v>
      </c>
      <c r="E310">
        <v>2</v>
      </c>
      <c r="G310">
        <v>374</v>
      </c>
      <c r="H310" t="s">
        <v>8</v>
      </c>
    </row>
    <row r="311" spans="1:8" x14ac:dyDescent="0.2">
      <c r="A311" t="s">
        <v>303</v>
      </c>
      <c r="B311" t="s">
        <v>318</v>
      </c>
      <c r="C311" t="str">
        <f t="shared" si="10"/>
        <v>Educateur APS3</v>
      </c>
      <c r="D311" t="s">
        <v>179</v>
      </c>
      <c r="E311">
        <v>3</v>
      </c>
      <c r="G311">
        <v>375</v>
      </c>
      <c r="H311" t="s">
        <v>8</v>
      </c>
    </row>
    <row r="312" spans="1:8" x14ac:dyDescent="0.2">
      <c r="A312" t="s">
        <v>303</v>
      </c>
      <c r="B312" t="s">
        <v>318</v>
      </c>
      <c r="C312" t="str">
        <f t="shared" si="10"/>
        <v>Educateur APS4</v>
      </c>
      <c r="D312" t="s">
        <v>179</v>
      </c>
      <c r="E312">
        <v>4</v>
      </c>
      <c r="G312">
        <v>376</v>
      </c>
      <c r="H312" t="s">
        <v>8</v>
      </c>
    </row>
    <row r="313" spans="1:8" x14ac:dyDescent="0.2">
      <c r="A313" t="s">
        <v>303</v>
      </c>
      <c r="B313" t="s">
        <v>318</v>
      </c>
      <c r="C313" t="str">
        <f t="shared" si="10"/>
        <v>Educateur APS5</v>
      </c>
      <c r="D313" t="s">
        <v>179</v>
      </c>
      <c r="E313">
        <v>5</v>
      </c>
      <c r="G313">
        <v>377</v>
      </c>
      <c r="H313" t="s">
        <v>8</v>
      </c>
    </row>
    <row r="314" spans="1:8" x14ac:dyDescent="0.2">
      <c r="A314" t="s">
        <v>303</v>
      </c>
      <c r="B314" t="s">
        <v>318</v>
      </c>
      <c r="C314" t="str">
        <f t="shared" si="10"/>
        <v>Educateur APS6</v>
      </c>
      <c r="D314" t="s">
        <v>179</v>
      </c>
      <c r="E314">
        <v>6</v>
      </c>
      <c r="G314">
        <v>386</v>
      </c>
      <c r="H314" t="s">
        <v>8</v>
      </c>
    </row>
    <row r="315" spans="1:8" x14ac:dyDescent="0.2">
      <c r="A315" t="s">
        <v>303</v>
      </c>
      <c r="B315" t="s">
        <v>318</v>
      </c>
      <c r="C315" t="str">
        <f t="shared" si="10"/>
        <v>Educateur APS7</v>
      </c>
      <c r="D315" t="s">
        <v>179</v>
      </c>
      <c r="E315">
        <v>7</v>
      </c>
      <c r="G315">
        <v>401</v>
      </c>
      <c r="H315" t="s">
        <v>8</v>
      </c>
    </row>
    <row r="316" spans="1:8" x14ac:dyDescent="0.2">
      <c r="A316" t="s">
        <v>303</v>
      </c>
      <c r="B316" t="s">
        <v>318</v>
      </c>
      <c r="C316" t="str">
        <f t="shared" si="10"/>
        <v>Educateur APS8</v>
      </c>
      <c r="D316" t="s">
        <v>179</v>
      </c>
      <c r="E316">
        <v>8</v>
      </c>
      <c r="G316">
        <v>420</v>
      </c>
      <c r="H316" t="s">
        <v>8</v>
      </c>
    </row>
    <row r="317" spans="1:8" x14ac:dyDescent="0.2">
      <c r="A317" t="s">
        <v>303</v>
      </c>
      <c r="B317" t="s">
        <v>318</v>
      </c>
      <c r="C317" t="str">
        <f t="shared" si="10"/>
        <v>Educateur APS9</v>
      </c>
      <c r="D317" t="s">
        <v>179</v>
      </c>
      <c r="E317">
        <v>9</v>
      </c>
      <c r="G317">
        <v>436</v>
      </c>
      <c r="H317" t="s">
        <v>8</v>
      </c>
    </row>
    <row r="318" spans="1:8" x14ac:dyDescent="0.2">
      <c r="A318" t="s">
        <v>303</v>
      </c>
      <c r="B318" t="s">
        <v>318</v>
      </c>
      <c r="C318" t="str">
        <f t="shared" si="10"/>
        <v>Educateur APS10</v>
      </c>
      <c r="D318" t="s">
        <v>179</v>
      </c>
      <c r="E318">
        <v>10</v>
      </c>
      <c r="G318">
        <v>446</v>
      </c>
      <c r="H318" t="s">
        <v>8</v>
      </c>
    </row>
    <row r="319" spans="1:8" x14ac:dyDescent="0.2">
      <c r="A319" t="s">
        <v>303</v>
      </c>
      <c r="B319" t="s">
        <v>318</v>
      </c>
      <c r="C319" t="str">
        <f t="shared" si="10"/>
        <v>Educateur APS11</v>
      </c>
      <c r="D319" t="s">
        <v>179</v>
      </c>
      <c r="E319">
        <v>11</v>
      </c>
      <c r="G319">
        <v>462</v>
      </c>
      <c r="H319" t="s">
        <v>8</v>
      </c>
    </row>
    <row r="320" spans="1:8" x14ac:dyDescent="0.2">
      <c r="A320" t="s">
        <v>303</v>
      </c>
      <c r="B320" t="s">
        <v>318</v>
      </c>
      <c r="C320" t="str">
        <f t="shared" si="10"/>
        <v>Educateur APS12</v>
      </c>
      <c r="D320" t="s">
        <v>179</v>
      </c>
      <c r="E320">
        <v>12</v>
      </c>
      <c r="G320">
        <v>482</v>
      </c>
      <c r="H320" t="s">
        <v>8</v>
      </c>
    </row>
    <row r="321" spans="1:8" x14ac:dyDescent="0.2">
      <c r="A321" t="s">
        <v>303</v>
      </c>
      <c r="B321" t="s">
        <v>318</v>
      </c>
      <c r="C321" t="str">
        <f t="shared" si="10"/>
        <v>Educateur APS13</v>
      </c>
      <c r="D321" t="s">
        <v>179</v>
      </c>
      <c r="E321">
        <v>13</v>
      </c>
      <c r="G321">
        <v>508</v>
      </c>
      <c r="H321" t="s">
        <v>8</v>
      </c>
    </row>
    <row r="322" spans="1:8" x14ac:dyDescent="0.2">
      <c r="A322" t="s">
        <v>303</v>
      </c>
      <c r="B322" t="s">
        <v>318</v>
      </c>
      <c r="C322" t="str">
        <f t="shared" si="10"/>
        <v>Educateur APS principal 2° classe1</v>
      </c>
      <c r="D322" t="s">
        <v>320</v>
      </c>
      <c r="E322">
        <v>1</v>
      </c>
      <c r="G322">
        <v>376</v>
      </c>
      <c r="H322" t="s">
        <v>8</v>
      </c>
    </row>
    <row r="323" spans="1:8" x14ac:dyDescent="0.2">
      <c r="A323" t="s">
        <v>303</v>
      </c>
      <c r="B323" t="s">
        <v>318</v>
      </c>
      <c r="C323" t="str">
        <f t="shared" si="10"/>
        <v>Educateur APS principal 2° classe2</v>
      </c>
      <c r="D323" t="s">
        <v>320</v>
      </c>
      <c r="E323">
        <v>2</v>
      </c>
      <c r="G323">
        <v>377</v>
      </c>
      <c r="H323" t="s">
        <v>8</v>
      </c>
    </row>
    <row r="324" spans="1:8" x14ac:dyDescent="0.2">
      <c r="A324" t="s">
        <v>303</v>
      </c>
      <c r="B324" t="s">
        <v>318</v>
      </c>
      <c r="C324" t="str">
        <f t="shared" si="10"/>
        <v>Educateur APS principal 2° classe3</v>
      </c>
      <c r="D324" t="s">
        <v>320</v>
      </c>
      <c r="E324">
        <v>3</v>
      </c>
      <c r="G324">
        <v>384</v>
      </c>
      <c r="H324" t="s">
        <v>8</v>
      </c>
    </row>
    <row r="325" spans="1:8" x14ac:dyDescent="0.2">
      <c r="A325" t="s">
        <v>303</v>
      </c>
      <c r="B325" t="s">
        <v>318</v>
      </c>
      <c r="C325" t="str">
        <f t="shared" si="10"/>
        <v>Educateur APS principal 2° classe4</v>
      </c>
      <c r="D325" t="s">
        <v>320</v>
      </c>
      <c r="E325">
        <v>4</v>
      </c>
      <c r="G325">
        <v>395</v>
      </c>
      <c r="H325" t="s">
        <v>8</v>
      </c>
    </row>
    <row r="326" spans="1:8" x14ac:dyDescent="0.2">
      <c r="A326" t="s">
        <v>303</v>
      </c>
      <c r="B326" t="s">
        <v>318</v>
      </c>
      <c r="C326" t="str">
        <f t="shared" si="10"/>
        <v>Educateur APS principal 2° classe5</v>
      </c>
      <c r="D326" t="s">
        <v>320</v>
      </c>
      <c r="E326">
        <v>5</v>
      </c>
      <c r="G326">
        <v>406</v>
      </c>
      <c r="H326" t="s">
        <v>8</v>
      </c>
    </row>
    <row r="327" spans="1:8" x14ac:dyDescent="0.2">
      <c r="A327" t="s">
        <v>303</v>
      </c>
      <c r="B327" t="s">
        <v>318</v>
      </c>
      <c r="C327" t="str">
        <f t="shared" si="10"/>
        <v>Educateur APS principal 2° classe6</v>
      </c>
      <c r="D327" t="s">
        <v>320</v>
      </c>
      <c r="E327">
        <v>6</v>
      </c>
      <c r="G327">
        <v>421</v>
      </c>
      <c r="H327" t="s">
        <v>8</v>
      </c>
    </row>
    <row r="328" spans="1:8" x14ac:dyDescent="0.2">
      <c r="A328" t="s">
        <v>303</v>
      </c>
      <c r="B328" t="s">
        <v>318</v>
      </c>
      <c r="C328" t="str">
        <f t="shared" si="10"/>
        <v>Educateur APS principal 2° classe7</v>
      </c>
      <c r="D328" t="s">
        <v>320</v>
      </c>
      <c r="E328">
        <v>7</v>
      </c>
      <c r="G328">
        <v>441</v>
      </c>
      <c r="H328" t="s">
        <v>8</v>
      </c>
    </row>
    <row r="329" spans="1:8" x14ac:dyDescent="0.2">
      <c r="A329" t="s">
        <v>303</v>
      </c>
      <c r="B329" t="s">
        <v>318</v>
      </c>
      <c r="C329" t="str">
        <f t="shared" si="10"/>
        <v>Educateur APS principal 2° classe8</v>
      </c>
      <c r="D329" t="s">
        <v>320</v>
      </c>
      <c r="E329">
        <v>8</v>
      </c>
      <c r="G329">
        <v>457</v>
      </c>
      <c r="H329" t="s">
        <v>8</v>
      </c>
    </row>
    <row r="330" spans="1:8" x14ac:dyDescent="0.2">
      <c r="A330" t="s">
        <v>303</v>
      </c>
      <c r="B330" t="s">
        <v>318</v>
      </c>
      <c r="C330" t="str">
        <f t="shared" si="10"/>
        <v>Educateur APS principal 2° classe9</v>
      </c>
      <c r="D330" t="s">
        <v>320</v>
      </c>
      <c r="E330">
        <v>9</v>
      </c>
      <c r="G330">
        <v>466</v>
      </c>
      <c r="H330" t="s">
        <v>8</v>
      </c>
    </row>
    <row r="331" spans="1:8" x14ac:dyDescent="0.2">
      <c r="A331" t="s">
        <v>303</v>
      </c>
      <c r="B331" t="s">
        <v>318</v>
      </c>
      <c r="C331" t="str">
        <f t="shared" si="10"/>
        <v>Educateur APS principal 2° classe10</v>
      </c>
      <c r="D331" t="s">
        <v>320</v>
      </c>
      <c r="E331">
        <v>10</v>
      </c>
      <c r="G331">
        <v>485</v>
      </c>
      <c r="H331" t="s">
        <v>8</v>
      </c>
    </row>
    <row r="332" spans="1:8" x14ac:dyDescent="0.2">
      <c r="A332" t="s">
        <v>303</v>
      </c>
      <c r="B332" t="s">
        <v>318</v>
      </c>
      <c r="C332" t="str">
        <f t="shared" si="10"/>
        <v>Educateur APS principal 2° classe11</v>
      </c>
      <c r="D332" t="s">
        <v>320</v>
      </c>
      <c r="E332">
        <v>11</v>
      </c>
      <c r="G332">
        <v>509</v>
      </c>
      <c r="H332" t="s">
        <v>8</v>
      </c>
    </row>
    <row r="333" spans="1:8" x14ac:dyDescent="0.2">
      <c r="A333" t="s">
        <v>303</v>
      </c>
      <c r="B333" t="s">
        <v>318</v>
      </c>
      <c r="C333" t="str">
        <f t="shared" si="10"/>
        <v>Educateur APS principal 2° classe12</v>
      </c>
      <c r="D333" t="s">
        <v>320</v>
      </c>
      <c r="E333">
        <v>12</v>
      </c>
      <c r="G333">
        <v>539</v>
      </c>
      <c r="H333" t="s">
        <v>8</v>
      </c>
    </row>
    <row r="334" spans="1:8" x14ac:dyDescent="0.2">
      <c r="A334" t="s">
        <v>303</v>
      </c>
      <c r="B334" t="s">
        <v>318</v>
      </c>
      <c r="C334" t="str">
        <f t="shared" si="10"/>
        <v>Educateur APS principal 1° classe1</v>
      </c>
      <c r="D334" t="s">
        <v>321</v>
      </c>
      <c r="E334">
        <v>1</v>
      </c>
      <c r="G334">
        <v>397</v>
      </c>
      <c r="H334" t="s">
        <v>8</v>
      </c>
    </row>
    <row r="335" spans="1:8" x14ac:dyDescent="0.2">
      <c r="A335" t="s">
        <v>303</v>
      </c>
      <c r="B335" t="s">
        <v>318</v>
      </c>
      <c r="C335" t="str">
        <f t="shared" si="10"/>
        <v>Educateur APS principal 1° classe2</v>
      </c>
      <c r="D335" t="s">
        <v>321</v>
      </c>
      <c r="E335">
        <v>2</v>
      </c>
      <c r="G335">
        <v>409</v>
      </c>
      <c r="H335" t="s">
        <v>8</v>
      </c>
    </row>
    <row r="336" spans="1:8" x14ac:dyDescent="0.2">
      <c r="A336" t="s">
        <v>303</v>
      </c>
      <c r="B336" t="s">
        <v>318</v>
      </c>
      <c r="C336" t="str">
        <f t="shared" si="10"/>
        <v>Educateur APS principal 1° classe3</v>
      </c>
      <c r="D336" t="s">
        <v>321</v>
      </c>
      <c r="E336">
        <v>3</v>
      </c>
      <c r="G336">
        <v>424</v>
      </c>
      <c r="H336" t="s">
        <v>8</v>
      </c>
    </row>
    <row r="337" spans="1:8" x14ac:dyDescent="0.2">
      <c r="A337" t="s">
        <v>303</v>
      </c>
      <c r="B337" t="s">
        <v>318</v>
      </c>
      <c r="C337" t="str">
        <f t="shared" si="10"/>
        <v>Educateur APS principal 1° classe4</v>
      </c>
      <c r="D337" t="s">
        <v>321</v>
      </c>
      <c r="E337">
        <v>4</v>
      </c>
      <c r="G337">
        <v>446</v>
      </c>
      <c r="H337" t="s">
        <v>8</v>
      </c>
    </row>
    <row r="338" spans="1:8" x14ac:dyDescent="0.2">
      <c r="A338" t="s">
        <v>303</v>
      </c>
      <c r="B338" t="s">
        <v>318</v>
      </c>
      <c r="C338" t="str">
        <f t="shared" si="10"/>
        <v>Educateur APS principal 1° classe5</v>
      </c>
      <c r="D338" t="s">
        <v>321</v>
      </c>
      <c r="E338">
        <v>5</v>
      </c>
      <c r="G338">
        <v>470</v>
      </c>
      <c r="H338" t="s">
        <v>8</v>
      </c>
    </row>
    <row r="339" spans="1:8" x14ac:dyDescent="0.2">
      <c r="A339" t="s">
        <v>303</v>
      </c>
      <c r="B339" t="s">
        <v>318</v>
      </c>
      <c r="C339" t="str">
        <f t="shared" si="10"/>
        <v>Educateur APS principal 1° classe6</v>
      </c>
      <c r="D339" t="s">
        <v>321</v>
      </c>
      <c r="E339">
        <v>6</v>
      </c>
      <c r="G339">
        <v>489</v>
      </c>
      <c r="H339" t="s">
        <v>8</v>
      </c>
    </row>
    <row r="340" spans="1:8" x14ac:dyDescent="0.2">
      <c r="A340" t="s">
        <v>303</v>
      </c>
      <c r="B340" t="s">
        <v>318</v>
      </c>
      <c r="C340" t="str">
        <f t="shared" si="10"/>
        <v>Educateur APS principal 1° classe7</v>
      </c>
      <c r="D340" t="s">
        <v>321</v>
      </c>
      <c r="E340">
        <v>7</v>
      </c>
      <c r="G340">
        <v>513</v>
      </c>
      <c r="H340" t="s">
        <v>8</v>
      </c>
    </row>
    <row r="341" spans="1:8" x14ac:dyDescent="0.2">
      <c r="A341" t="s">
        <v>303</v>
      </c>
      <c r="B341" t="s">
        <v>318</v>
      </c>
      <c r="C341" t="str">
        <f t="shared" si="10"/>
        <v>Educateur APS principal 1° classe8</v>
      </c>
      <c r="D341" t="s">
        <v>321</v>
      </c>
      <c r="E341">
        <v>8</v>
      </c>
      <c r="G341">
        <v>539</v>
      </c>
      <c r="H341" t="s">
        <v>8</v>
      </c>
    </row>
    <row r="342" spans="1:8" x14ac:dyDescent="0.2">
      <c r="A342" t="s">
        <v>303</v>
      </c>
      <c r="B342" t="s">
        <v>318</v>
      </c>
      <c r="C342" t="str">
        <f t="shared" si="10"/>
        <v>Educateur APS principal 1° classe9</v>
      </c>
      <c r="D342" t="s">
        <v>321</v>
      </c>
      <c r="E342">
        <v>9</v>
      </c>
      <c r="G342">
        <v>556</v>
      </c>
      <c r="H342" t="s">
        <v>8</v>
      </c>
    </row>
    <row r="343" spans="1:8" x14ac:dyDescent="0.2">
      <c r="A343" t="s">
        <v>303</v>
      </c>
      <c r="B343" t="s">
        <v>318</v>
      </c>
      <c r="C343" t="str">
        <f t="shared" si="10"/>
        <v>Educateur APS principal 1° classe10</v>
      </c>
      <c r="D343" t="s">
        <v>321</v>
      </c>
      <c r="E343">
        <v>10</v>
      </c>
      <c r="G343">
        <v>574</v>
      </c>
      <c r="H343" t="s">
        <v>8</v>
      </c>
    </row>
    <row r="344" spans="1:8" x14ac:dyDescent="0.2">
      <c r="A344" t="s">
        <v>303</v>
      </c>
      <c r="B344" t="s">
        <v>318</v>
      </c>
      <c r="C344" t="str">
        <f t="shared" si="10"/>
        <v>Educateur APS principal 1° classe11</v>
      </c>
      <c r="D344" t="s">
        <v>321</v>
      </c>
      <c r="E344">
        <v>11</v>
      </c>
      <c r="G344">
        <v>592</v>
      </c>
      <c r="H344" t="s">
        <v>8</v>
      </c>
    </row>
    <row r="345" spans="1:8" x14ac:dyDescent="0.2">
      <c r="A345" t="s">
        <v>303</v>
      </c>
      <c r="B345" t="s">
        <v>319</v>
      </c>
      <c r="C345" t="str">
        <f t="shared" si="10"/>
        <v>Opérateur APS1</v>
      </c>
      <c r="D345" t="s">
        <v>322</v>
      </c>
      <c r="E345">
        <v>1</v>
      </c>
      <c r="G345">
        <v>366</v>
      </c>
      <c r="H345" t="s">
        <v>15</v>
      </c>
    </row>
    <row r="346" spans="1:8" x14ac:dyDescent="0.2">
      <c r="A346" t="s">
        <v>303</v>
      </c>
      <c r="B346" t="s">
        <v>319</v>
      </c>
      <c r="C346" t="str">
        <f t="shared" si="10"/>
        <v>Opérateur APS2</v>
      </c>
      <c r="D346" t="s">
        <v>322</v>
      </c>
      <c r="E346">
        <v>2</v>
      </c>
      <c r="G346">
        <v>367</v>
      </c>
      <c r="H346" t="s">
        <v>15</v>
      </c>
    </row>
    <row r="347" spans="1:8" x14ac:dyDescent="0.2">
      <c r="A347" t="s">
        <v>303</v>
      </c>
      <c r="B347" t="s">
        <v>319</v>
      </c>
      <c r="C347" t="str">
        <f t="shared" si="10"/>
        <v>Opérateur APS3</v>
      </c>
      <c r="D347" t="s">
        <v>322</v>
      </c>
      <c r="E347">
        <v>3</v>
      </c>
      <c r="G347">
        <v>368</v>
      </c>
      <c r="H347" t="s">
        <v>15</v>
      </c>
    </row>
    <row r="348" spans="1:8" x14ac:dyDescent="0.2">
      <c r="A348" t="s">
        <v>303</v>
      </c>
      <c r="B348" t="s">
        <v>319</v>
      </c>
      <c r="C348" t="str">
        <f t="shared" si="10"/>
        <v>Opérateur APS4</v>
      </c>
      <c r="D348" t="s">
        <v>322</v>
      </c>
      <c r="E348">
        <v>4</v>
      </c>
      <c r="G348">
        <v>369</v>
      </c>
      <c r="H348" t="s">
        <v>15</v>
      </c>
    </row>
    <row r="349" spans="1:8" x14ac:dyDescent="0.2">
      <c r="A349" t="s">
        <v>303</v>
      </c>
      <c r="B349" t="s">
        <v>319</v>
      </c>
      <c r="C349" t="str">
        <f t="shared" si="10"/>
        <v>Opérateur APS5</v>
      </c>
      <c r="D349" t="s">
        <v>322</v>
      </c>
      <c r="E349">
        <v>5</v>
      </c>
      <c r="G349">
        <v>370</v>
      </c>
      <c r="H349" t="s">
        <v>15</v>
      </c>
    </row>
    <row r="350" spans="1:8" x14ac:dyDescent="0.2">
      <c r="A350" t="s">
        <v>303</v>
      </c>
      <c r="B350" t="s">
        <v>319</v>
      </c>
      <c r="C350" t="str">
        <f t="shared" si="10"/>
        <v>Opérateur APS6</v>
      </c>
      <c r="D350" t="s">
        <v>322</v>
      </c>
      <c r="E350">
        <v>6</v>
      </c>
      <c r="G350">
        <v>371</v>
      </c>
      <c r="H350" t="s">
        <v>15</v>
      </c>
    </row>
    <row r="351" spans="1:8" x14ac:dyDescent="0.2">
      <c r="A351" t="s">
        <v>303</v>
      </c>
      <c r="B351" t="s">
        <v>319</v>
      </c>
      <c r="C351" t="str">
        <f t="shared" si="10"/>
        <v>Opérateur APS7</v>
      </c>
      <c r="D351" t="s">
        <v>322</v>
      </c>
      <c r="E351">
        <v>7</v>
      </c>
      <c r="G351">
        <v>372</v>
      </c>
      <c r="H351" t="s">
        <v>15</v>
      </c>
    </row>
    <row r="352" spans="1:8" x14ac:dyDescent="0.2">
      <c r="A352" t="s">
        <v>303</v>
      </c>
      <c r="B352" t="s">
        <v>319</v>
      </c>
      <c r="C352" t="str">
        <f t="shared" si="10"/>
        <v>Opérateur APS8</v>
      </c>
      <c r="D352" t="s">
        <v>322</v>
      </c>
      <c r="E352">
        <v>8</v>
      </c>
      <c r="G352">
        <v>373</v>
      </c>
      <c r="H352" t="s">
        <v>15</v>
      </c>
    </row>
    <row r="353" spans="1:8" x14ac:dyDescent="0.2">
      <c r="A353" t="s">
        <v>303</v>
      </c>
      <c r="B353" t="s">
        <v>319</v>
      </c>
      <c r="C353" t="str">
        <f t="shared" ref="C353:C416" si="11">D353&amp;E353</f>
        <v>Opérateur APS9</v>
      </c>
      <c r="D353" t="s">
        <v>322</v>
      </c>
      <c r="E353">
        <v>9</v>
      </c>
      <c r="G353">
        <v>376</v>
      </c>
      <c r="H353" t="s">
        <v>15</v>
      </c>
    </row>
    <row r="354" spans="1:8" x14ac:dyDescent="0.2">
      <c r="A354" t="s">
        <v>303</v>
      </c>
      <c r="B354" t="s">
        <v>319</v>
      </c>
      <c r="C354" t="str">
        <f t="shared" si="11"/>
        <v>Opérateur APS10</v>
      </c>
      <c r="D354" t="s">
        <v>322</v>
      </c>
      <c r="E354">
        <v>10</v>
      </c>
      <c r="G354">
        <v>377</v>
      </c>
      <c r="H354" t="s">
        <v>15</v>
      </c>
    </row>
    <row r="355" spans="1:8" x14ac:dyDescent="0.2">
      <c r="A355" t="s">
        <v>303</v>
      </c>
      <c r="B355" t="s">
        <v>319</v>
      </c>
      <c r="C355" t="str">
        <f t="shared" si="11"/>
        <v>Opérateur APS11</v>
      </c>
      <c r="D355" t="s">
        <v>322</v>
      </c>
      <c r="E355">
        <v>11</v>
      </c>
      <c r="G355">
        <v>387</v>
      </c>
      <c r="H355" t="s">
        <v>15</v>
      </c>
    </row>
    <row r="356" spans="1:8" x14ac:dyDescent="0.2">
      <c r="A356" t="s">
        <v>303</v>
      </c>
      <c r="B356" t="s">
        <v>319</v>
      </c>
      <c r="C356" t="str">
        <f t="shared" si="11"/>
        <v>Opérateur APS qualifié1</v>
      </c>
      <c r="D356" t="s">
        <v>323</v>
      </c>
      <c r="E356">
        <v>1</v>
      </c>
      <c r="G356">
        <v>367</v>
      </c>
      <c r="H356" t="s">
        <v>15</v>
      </c>
    </row>
    <row r="357" spans="1:8" x14ac:dyDescent="0.2">
      <c r="A357" t="s">
        <v>303</v>
      </c>
      <c r="B357" t="s">
        <v>319</v>
      </c>
      <c r="C357" t="str">
        <f t="shared" si="11"/>
        <v>Opérateur APS qualifié2</v>
      </c>
      <c r="D357" t="s">
        <v>323</v>
      </c>
      <c r="E357">
        <v>2</v>
      </c>
      <c r="G357">
        <v>369</v>
      </c>
      <c r="H357" t="s">
        <v>15</v>
      </c>
    </row>
    <row r="358" spans="1:8" x14ac:dyDescent="0.2">
      <c r="A358" t="s">
        <v>303</v>
      </c>
      <c r="B358" t="s">
        <v>319</v>
      </c>
      <c r="C358" t="str">
        <f t="shared" si="11"/>
        <v>Opérateur APS qualifié3</v>
      </c>
      <c r="D358" t="s">
        <v>323</v>
      </c>
      <c r="E358">
        <v>3</v>
      </c>
      <c r="G358">
        <v>370</v>
      </c>
      <c r="H358" t="s">
        <v>15</v>
      </c>
    </row>
    <row r="359" spans="1:8" x14ac:dyDescent="0.2">
      <c r="A359" t="s">
        <v>303</v>
      </c>
      <c r="B359" t="s">
        <v>319</v>
      </c>
      <c r="C359" t="str">
        <f t="shared" si="11"/>
        <v>Opérateur APS qualifié4</v>
      </c>
      <c r="D359" t="s">
        <v>323</v>
      </c>
      <c r="E359">
        <v>4</v>
      </c>
      <c r="G359">
        <v>373</v>
      </c>
      <c r="H359" t="s">
        <v>15</v>
      </c>
    </row>
    <row r="360" spans="1:8" x14ac:dyDescent="0.2">
      <c r="A360" t="s">
        <v>303</v>
      </c>
      <c r="B360" t="s">
        <v>319</v>
      </c>
      <c r="C360" t="str">
        <f t="shared" si="11"/>
        <v>Opérateur APS qualifié5</v>
      </c>
      <c r="D360" t="s">
        <v>323</v>
      </c>
      <c r="E360">
        <v>5</v>
      </c>
      <c r="G360">
        <v>374</v>
      </c>
      <c r="H360" t="s">
        <v>15</v>
      </c>
    </row>
    <row r="361" spans="1:8" x14ac:dyDescent="0.2">
      <c r="A361" t="s">
        <v>303</v>
      </c>
      <c r="B361" t="s">
        <v>319</v>
      </c>
      <c r="C361" t="str">
        <f t="shared" si="11"/>
        <v>Opérateur APS qualifié6</v>
      </c>
      <c r="D361" t="s">
        <v>323</v>
      </c>
      <c r="E361">
        <v>6</v>
      </c>
      <c r="G361">
        <v>376</v>
      </c>
      <c r="H361" t="s">
        <v>15</v>
      </c>
    </row>
    <row r="362" spans="1:8" x14ac:dyDescent="0.2">
      <c r="A362" t="s">
        <v>303</v>
      </c>
      <c r="B362" t="s">
        <v>319</v>
      </c>
      <c r="C362" t="str">
        <f t="shared" si="11"/>
        <v>Opérateur APS qualifié7</v>
      </c>
      <c r="D362" t="s">
        <v>323</v>
      </c>
      <c r="E362">
        <v>7</v>
      </c>
      <c r="G362">
        <v>377</v>
      </c>
      <c r="H362" t="s">
        <v>15</v>
      </c>
    </row>
    <row r="363" spans="1:8" x14ac:dyDescent="0.2">
      <c r="A363" t="s">
        <v>303</v>
      </c>
      <c r="B363" t="s">
        <v>319</v>
      </c>
      <c r="C363" t="str">
        <f t="shared" si="11"/>
        <v>Opérateur APS qualifié8</v>
      </c>
      <c r="D363" t="s">
        <v>323</v>
      </c>
      <c r="E363">
        <v>8</v>
      </c>
      <c r="G363">
        <v>385</v>
      </c>
      <c r="H363" t="s">
        <v>15</v>
      </c>
    </row>
    <row r="364" spans="1:8" x14ac:dyDescent="0.2">
      <c r="A364" t="s">
        <v>303</v>
      </c>
      <c r="B364" t="s">
        <v>319</v>
      </c>
      <c r="C364" t="str">
        <f t="shared" si="11"/>
        <v>Opérateur APS qualifié9</v>
      </c>
      <c r="D364" t="s">
        <v>323</v>
      </c>
      <c r="E364">
        <v>9</v>
      </c>
      <c r="G364">
        <v>397</v>
      </c>
      <c r="H364" t="s">
        <v>15</v>
      </c>
    </row>
    <row r="365" spans="1:8" x14ac:dyDescent="0.2">
      <c r="A365" t="s">
        <v>303</v>
      </c>
      <c r="B365" t="s">
        <v>319</v>
      </c>
      <c r="C365" t="str">
        <f t="shared" si="11"/>
        <v>Opérateur APS qualifié10</v>
      </c>
      <c r="D365" t="s">
        <v>323</v>
      </c>
      <c r="E365">
        <v>10</v>
      </c>
      <c r="G365">
        <v>409</v>
      </c>
      <c r="H365" t="s">
        <v>15</v>
      </c>
    </row>
    <row r="366" spans="1:8" x14ac:dyDescent="0.2">
      <c r="A366" t="s">
        <v>303</v>
      </c>
      <c r="B366" t="s">
        <v>319</v>
      </c>
      <c r="C366" t="str">
        <f t="shared" si="11"/>
        <v>Opérateur APS qualifié11</v>
      </c>
      <c r="D366" t="s">
        <v>323</v>
      </c>
      <c r="E366">
        <v>11</v>
      </c>
      <c r="G366">
        <v>417</v>
      </c>
      <c r="H366" t="s">
        <v>15</v>
      </c>
    </row>
    <row r="367" spans="1:8" x14ac:dyDescent="0.2">
      <c r="A367" t="s">
        <v>303</v>
      </c>
      <c r="B367" t="s">
        <v>319</v>
      </c>
      <c r="C367" t="str">
        <f t="shared" si="11"/>
        <v>Opérateur APS qualifié12</v>
      </c>
      <c r="D367" t="s">
        <v>323</v>
      </c>
      <c r="E367">
        <v>12</v>
      </c>
      <c r="G367">
        <v>425</v>
      </c>
      <c r="H367" t="s">
        <v>15</v>
      </c>
    </row>
    <row r="368" spans="1:8" x14ac:dyDescent="0.2">
      <c r="A368" t="s">
        <v>303</v>
      </c>
      <c r="B368" t="s">
        <v>319</v>
      </c>
      <c r="C368" t="str">
        <f t="shared" si="11"/>
        <v>Opérateur APS principal1</v>
      </c>
      <c r="D368" t="s">
        <v>324</v>
      </c>
      <c r="E368">
        <v>1</v>
      </c>
      <c r="G368">
        <v>373</v>
      </c>
      <c r="H368" t="s">
        <v>15</v>
      </c>
    </row>
    <row r="369" spans="1:8" x14ac:dyDescent="0.2">
      <c r="A369" t="s">
        <v>303</v>
      </c>
      <c r="B369" t="s">
        <v>319</v>
      </c>
      <c r="C369" t="str">
        <f t="shared" si="11"/>
        <v>Opérateur APS principal2</v>
      </c>
      <c r="D369" t="s">
        <v>324</v>
      </c>
      <c r="E369">
        <v>2</v>
      </c>
      <c r="G369">
        <v>375</v>
      </c>
      <c r="H369" t="s">
        <v>15</v>
      </c>
    </row>
    <row r="370" spans="1:8" x14ac:dyDescent="0.2">
      <c r="A370" t="s">
        <v>303</v>
      </c>
      <c r="B370" t="s">
        <v>319</v>
      </c>
      <c r="C370" t="str">
        <f t="shared" si="11"/>
        <v>Opérateur APS principal3</v>
      </c>
      <c r="D370" t="s">
        <v>324</v>
      </c>
      <c r="E370">
        <v>3</v>
      </c>
      <c r="G370">
        <v>376</v>
      </c>
      <c r="H370" t="s">
        <v>15</v>
      </c>
    </row>
    <row r="371" spans="1:8" x14ac:dyDescent="0.2">
      <c r="A371" t="s">
        <v>303</v>
      </c>
      <c r="B371" t="s">
        <v>319</v>
      </c>
      <c r="C371" t="str">
        <f t="shared" si="11"/>
        <v>Opérateur APS principal4</v>
      </c>
      <c r="D371" t="s">
        <v>324</v>
      </c>
      <c r="E371">
        <v>4</v>
      </c>
      <c r="G371">
        <v>385</v>
      </c>
      <c r="H371" t="s">
        <v>15</v>
      </c>
    </row>
    <row r="372" spans="1:8" x14ac:dyDescent="0.2">
      <c r="A372" t="s">
        <v>303</v>
      </c>
      <c r="B372" t="s">
        <v>319</v>
      </c>
      <c r="C372" t="str">
        <f t="shared" si="11"/>
        <v>Opérateur APS principal5</v>
      </c>
      <c r="D372" t="s">
        <v>324</v>
      </c>
      <c r="E372">
        <v>5</v>
      </c>
      <c r="G372">
        <v>398</v>
      </c>
      <c r="H372" t="s">
        <v>15</v>
      </c>
    </row>
    <row r="373" spans="1:8" x14ac:dyDescent="0.2">
      <c r="A373" t="s">
        <v>303</v>
      </c>
      <c r="B373" t="s">
        <v>319</v>
      </c>
      <c r="C373" t="str">
        <f t="shared" si="11"/>
        <v>Opérateur APS principal6</v>
      </c>
      <c r="D373" t="s">
        <v>324</v>
      </c>
      <c r="E373">
        <v>6</v>
      </c>
      <c r="G373">
        <v>408</v>
      </c>
      <c r="H373" t="s">
        <v>15</v>
      </c>
    </row>
    <row r="374" spans="1:8" x14ac:dyDescent="0.2">
      <c r="A374" t="s">
        <v>303</v>
      </c>
      <c r="B374" t="s">
        <v>319</v>
      </c>
      <c r="C374" t="str">
        <f t="shared" si="11"/>
        <v>Opérateur APS principal7</v>
      </c>
      <c r="D374" t="s">
        <v>324</v>
      </c>
      <c r="E374">
        <v>7</v>
      </c>
      <c r="G374">
        <v>420</v>
      </c>
      <c r="H374" t="s">
        <v>15</v>
      </c>
    </row>
    <row r="375" spans="1:8" x14ac:dyDescent="0.2">
      <c r="A375" t="s">
        <v>303</v>
      </c>
      <c r="B375" t="s">
        <v>319</v>
      </c>
      <c r="C375" t="str">
        <f t="shared" si="11"/>
        <v>Opérateur APS principal8</v>
      </c>
      <c r="D375" t="s">
        <v>324</v>
      </c>
      <c r="E375">
        <v>8</v>
      </c>
      <c r="G375">
        <v>435</v>
      </c>
      <c r="H375" t="s">
        <v>15</v>
      </c>
    </row>
    <row r="376" spans="1:8" x14ac:dyDescent="0.2">
      <c r="A376" t="s">
        <v>303</v>
      </c>
      <c r="B376" t="s">
        <v>319</v>
      </c>
      <c r="C376" t="str">
        <f t="shared" si="11"/>
        <v>Opérateur APS principal9</v>
      </c>
      <c r="D376" t="s">
        <v>324</v>
      </c>
      <c r="E376">
        <v>9</v>
      </c>
      <c r="G376">
        <v>455</v>
      </c>
      <c r="H376" t="s">
        <v>15</v>
      </c>
    </row>
    <row r="377" spans="1:8" x14ac:dyDescent="0.2">
      <c r="A377" t="s">
        <v>303</v>
      </c>
      <c r="B377" t="s">
        <v>319</v>
      </c>
      <c r="C377" t="str">
        <f t="shared" si="11"/>
        <v>Opérateur APS principal10</v>
      </c>
      <c r="D377" t="s">
        <v>324</v>
      </c>
      <c r="E377">
        <v>10</v>
      </c>
      <c r="G377">
        <v>478</v>
      </c>
      <c r="H377" t="s">
        <v>15</v>
      </c>
    </row>
    <row r="378" spans="1:8" x14ac:dyDescent="0.2">
      <c r="A378" t="s">
        <v>304</v>
      </c>
      <c r="B378" t="s">
        <v>330</v>
      </c>
      <c r="C378" t="str">
        <f t="shared" si="11"/>
        <v>Attachés conservation1</v>
      </c>
      <c r="D378" t="s">
        <v>335</v>
      </c>
      <c r="E378">
        <v>1</v>
      </c>
      <c r="G378">
        <v>395</v>
      </c>
      <c r="H378" t="s">
        <v>15</v>
      </c>
    </row>
    <row r="379" spans="1:8" x14ac:dyDescent="0.2">
      <c r="A379" t="s">
        <v>304</v>
      </c>
      <c r="B379" t="s">
        <v>330</v>
      </c>
      <c r="C379" t="str">
        <f t="shared" si="11"/>
        <v>Attachés conservation2</v>
      </c>
      <c r="D379" t="s">
        <v>335</v>
      </c>
      <c r="E379">
        <v>2</v>
      </c>
      <c r="G379">
        <v>415</v>
      </c>
      <c r="H379" t="s">
        <v>15</v>
      </c>
    </row>
    <row r="380" spans="1:8" x14ac:dyDescent="0.2">
      <c r="A380" t="s">
        <v>304</v>
      </c>
      <c r="B380" t="s">
        <v>330</v>
      </c>
      <c r="C380" t="str">
        <f t="shared" si="11"/>
        <v>Attachés conservation3</v>
      </c>
      <c r="D380" t="s">
        <v>335</v>
      </c>
      <c r="E380">
        <v>3</v>
      </c>
      <c r="G380">
        <v>435</v>
      </c>
      <c r="H380" t="s">
        <v>15</v>
      </c>
    </row>
    <row r="381" spans="1:8" x14ac:dyDescent="0.2">
      <c r="A381" t="s">
        <v>304</v>
      </c>
      <c r="B381" t="s">
        <v>330</v>
      </c>
      <c r="C381" t="str">
        <f t="shared" si="11"/>
        <v>Attachés conservation4</v>
      </c>
      <c r="D381" t="s">
        <v>335</v>
      </c>
      <c r="E381">
        <v>4</v>
      </c>
      <c r="G381">
        <v>455</v>
      </c>
      <c r="H381" t="s">
        <v>15</v>
      </c>
    </row>
    <row r="382" spans="1:8" x14ac:dyDescent="0.2">
      <c r="A382" t="s">
        <v>304</v>
      </c>
      <c r="B382" t="s">
        <v>330</v>
      </c>
      <c r="C382" t="str">
        <f t="shared" si="11"/>
        <v>Attachés conservation5</v>
      </c>
      <c r="D382" t="s">
        <v>335</v>
      </c>
      <c r="E382">
        <v>5</v>
      </c>
      <c r="G382">
        <v>485</v>
      </c>
      <c r="H382" t="s">
        <v>15</v>
      </c>
    </row>
    <row r="383" spans="1:8" x14ac:dyDescent="0.2">
      <c r="A383" t="s">
        <v>304</v>
      </c>
      <c r="B383" t="s">
        <v>330</v>
      </c>
      <c r="C383" t="str">
        <f t="shared" si="11"/>
        <v>Attachés conservation6</v>
      </c>
      <c r="D383" t="s">
        <v>335</v>
      </c>
      <c r="E383">
        <v>6</v>
      </c>
      <c r="G383">
        <v>518</v>
      </c>
      <c r="H383" t="s">
        <v>15</v>
      </c>
    </row>
    <row r="384" spans="1:8" x14ac:dyDescent="0.2">
      <c r="A384" t="s">
        <v>304</v>
      </c>
      <c r="B384" t="s">
        <v>330</v>
      </c>
      <c r="C384" t="str">
        <f t="shared" si="11"/>
        <v>Attachés conservation7</v>
      </c>
      <c r="D384" t="s">
        <v>335</v>
      </c>
      <c r="E384">
        <v>7</v>
      </c>
      <c r="G384">
        <v>550</v>
      </c>
      <c r="H384" t="s">
        <v>15</v>
      </c>
    </row>
    <row r="385" spans="1:8" x14ac:dyDescent="0.2">
      <c r="A385" t="s">
        <v>304</v>
      </c>
      <c r="B385" t="s">
        <v>330</v>
      </c>
      <c r="C385" t="str">
        <f t="shared" si="11"/>
        <v>Attachés conservation8</v>
      </c>
      <c r="D385" t="s">
        <v>335</v>
      </c>
      <c r="E385">
        <v>8</v>
      </c>
      <c r="G385">
        <v>580</v>
      </c>
      <c r="H385" t="s">
        <v>15</v>
      </c>
    </row>
    <row r="386" spans="1:8" x14ac:dyDescent="0.2">
      <c r="A386" t="s">
        <v>304</v>
      </c>
      <c r="B386" t="s">
        <v>330</v>
      </c>
      <c r="C386" t="str">
        <f t="shared" si="11"/>
        <v>Attachés conservation9</v>
      </c>
      <c r="D386" t="s">
        <v>335</v>
      </c>
      <c r="E386">
        <v>9</v>
      </c>
      <c r="G386">
        <v>610</v>
      </c>
      <c r="H386" t="s">
        <v>15</v>
      </c>
    </row>
    <row r="387" spans="1:8" x14ac:dyDescent="0.2">
      <c r="A387" t="s">
        <v>304</v>
      </c>
      <c r="B387" t="s">
        <v>330</v>
      </c>
      <c r="C387" t="str">
        <f t="shared" si="11"/>
        <v>Attachés conservation10</v>
      </c>
      <c r="D387" t="s">
        <v>335</v>
      </c>
      <c r="E387">
        <v>10</v>
      </c>
      <c r="G387">
        <v>645</v>
      </c>
      <c r="H387" t="s">
        <v>15</v>
      </c>
    </row>
    <row r="388" spans="1:8" x14ac:dyDescent="0.2">
      <c r="A388" t="s">
        <v>304</v>
      </c>
      <c r="B388" t="s">
        <v>330</v>
      </c>
      <c r="C388" t="str">
        <f t="shared" si="11"/>
        <v>Attachés conservation11</v>
      </c>
      <c r="D388" t="s">
        <v>335</v>
      </c>
      <c r="E388">
        <v>11</v>
      </c>
      <c r="G388">
        <v>678</v>
      </c>
      <c r="H388" t="s">
        <v>15</v>
      </c>
    </row>
    <row r="389" spans="1:8" x14ac:dyDescent="0.2">
      <c r="A389" t="s">
        <v>304</v>
      </c>
      <c r="B389" t="s">
        <v>330</v>
      </c>
      <c r="C389" t="str">
        <f t="shared" si="11"/>
        <v>Attachés conservation principal1</v>
      </c>
      <c r="D389" t="s">
        <v>336</v>
      </c>
      <c r="E389">
        <v>1</v>
      </c>
      <c r="G389">
        <v>505</v>
      </c>
      <c r="H389" t="s">
        <v>15</v>
      </c>
    </row>
    <row r="390" spans="1:8" x14ac:dyDescent="0.2">
      <c r="A390" t="s">
        <v>304</v>
      </c>
      <c r="B390" t="s">
        <v>330</v>
      </c>
      <c r="C390" t="str">
        <f t="shared" si="11"/>
        <v>Attachés conservation principal2</v>
      </c>
      <c r="D390" t="s">
        <v>336</v>
      </c>
      <c r="E390">
        <v>2</v>
      </c>
      <c r="G390">
        <v>540</v>
      </c>
      <c r="H390" t="s">
        <v>15</v>
      </c>
    </row>
    <row r="391" spans="1:8" x14ac:dyDescent="0.2">
      <c r="A391" t="s">
        <v>304</v>
      </c>
      <c r="B391" t="s">
        <v>330</v>
      </c>
      <c r="C391" t="str">
        <f t="shared" si="11"/>
        <v>Attachés conservation principal3</v>
      </c>
      <c r="D391" t="s">
        <v>336</v>
      </c>
      <c r="E391">
        <v>3</v>
      </c>
      <c r="G391">
        <v>580</v>
      </c>
      <c r="H391" t="s">
        <v>15</v>
      </c>
    </row>
    <row r="392" spans="1:8" x14ac:dyDescent="0.2">
      <c r="A392" t="s">
        <v>304</v>
      </c>
      <c r="B392" t="s">
        <v>330</v>
      </c>
      <c r="C392" t="str">
        <f t="shared" si="11"/>
        <v>Attachés conservation principal4</v>
      </c>
      <c r="D392" t="s">
        <v>336</v>
      </c>
      <c r="E392">
        <v>4</v>
      </c>
      <c r="G392">
        <v>610</v>
      </c>
      <c r="H392" t="s">
        <v>15</v>
      </c>
    </row>
    <row r="393" spans="1:8" x14ac:dyDescent="0.2">
      <c r="A393" t="s">
        <v>304</v>
      </c>
      <c r="B393" t="s">
        <v>330</v>
      </c>
      <c r="C393" t="str">
        <f t="shared" si="11"/>
        <v>Attachés conservation principal5</v>
      </c>
      <c r="D393" t="s">
        <v>336</v>
      </c>
      <c r="E393">
        <v>5</v>
      </c>
      <c r="G393">
        <v>655</v>
      </c>
      <c r="H393" t="s">
        <v>15</v>
      </c>
    </row>
    <row r="394" spans="1:8" x14ac:dyDescent="0.2">
      <c r="A394" t="s">
        <v>304</v>
      </c>
      <c r="B394" t="s">
        <v>330</v>
      </c>
      <c r="C394" t="str">
        <f t="shared" si="11"/>
        <v>Attachés conservation principal6</v>
      </c>
      <c r="D394" t="s">
        <v>336</v>
      </c>
      <c r="E394">
        <v>6</v>
      </c>
      <c r="G394">
        <v>695</v>
      </c>
      <c r="H394" t="s">
        <v>15</v>
      </c>
    </row>
    <row r="395" spans="1:8" x14ac:dyDescent="0.2">
      <c r="A395" t="s">
        <v>304</v>
      </c>
      <c r="B395" t="s">
        <v>330</v>
      </c>
      <c r="C395" t="str">
        <f t="shared" si="11"/>
        <v>Attachés conservation principal7</v>
      </c>
      <c r="D395" t="s">
        <v>336</v>
      </c>
      <c r="E395">
        <v>7</v>
      </c>
      <c r="G395">
        <v>735</v>
      </c>
      <c r="H395" t="s">
        <v>15</v>
      </c>
    </row>
    <row r="396" spans="1:8" x14ac:dyDescent="0.2">
      <c r="A396" t="s">
        <v>304</v>
      </c>
      <c r="B396" t="s">
        <v>330</v>
      </c>
      <c r="C396" t="str">
        <f t="shared" si="11"/>
        <v>Attachés conservation principal8</v>
      </c>
      <c r="D396" t="s">
        <v>336</v>
      </c>
      <c r="E396">
        <v>8</v>
      </c>
      <c r="G396">
        <v>773</v>
      </c>
      <c r="H396" t="s">
        <v>15</v>
      </c>
    </row>
    <row r="397" spans="1:8" x14ac:dyDescent="0.2">
      <c r="A397" t="s">
        <v>304</v>
      </c>
      <c r="B397" t="s">
        <v>330</v>
      </c>
      <c r="C397" t="str">
        <f t="shared" si="11"/>
        <v>Attachés conservation principal9</v>
      </c>
      <c r="D397" t="s">
        <v>336</v>
      </c>
      <c r="E397">
        <v>9</v>
      </c>
      <c r="G397">
        <v>811</v>
      </c>
      <c r="H397" t="s">
        <v>15</v>
      </c>
    </row>
    <row r="398" spans="1:8" x14ac:dyDescent="0.2">
      <c r="A398" t="s">
        <v>304</v>
      </c>
      <c r="B398" t="s">
        <v>330</v>
      </c>
      <c r="C398" t="str">
        <f t="shared" si="11"/>
        <v>Attachés conservation principal10</v>
      </c>
      <c r="D398" t="s">
        <v>336</v>
      </c>
      <c r="E398">
        <v>10</v>
      </c>
      <c r="G398">
        <v>826</v>
      </c>
      <c r="H398" t="s">
        <v>15</v>
      </c>
    </row>
    <row r="399" spans="1:8" x14ac:dyDescent="0.2">
      <c r="A399" t="s">
        <v>304</v>
      </c>
      <c r="B399" t="s">
        <v>331</v>
      </c>
      <c r="C399" t="str">
        <f t="shared" si="11"/>
        <v>Bibliothécaire1</v>
      </c>
      <c r="D399" t="s">
        <v>137</v>
      </c>
      <c r="E399">
        <v>1</v>
      </c>
      <c r="G399">
        <v>395</v>
      </c>
      <c r="H399" t="s">
        <v>15</v>
      </c>
    </row>
    <row r="400" spans="1:8" x14ac:dyDescent="0.2">
      <c r="A400" t="s">
        <v>304</v>
      </c>
      <c r="B400" t="s">
        <v>331</v>
      </c>
      <c r="C400" t="str">
        <f t="shared" si="11"/>
        <v>Bibliothécaire2</v>
      </c>
      <c r="D400" t="s">
        <v>137</v>
      </c>
      <c r="E400">
        <v>2</v>
      </c>
      <c r="G400">
        <v>415</v>
      </c>
      <c r="H400" t="s">
        <v>15</v>
      </c>
    </row>
    <row r="401" spans="1:8" x14ac:dyDescent="0.2">
      <c r="A401" t="s">
        <v>304</v>
      </c>
      <c r="B401" t="s">
        <v>331</v>
      </c>
      <c r="C401" t="str">
        <f t="shared" si="11"/>
        <v>Bibliothécaire3</v>
      </c>
      <c r="D401" t="s">
        <v>137</v>
      </c>
      <c r="E401">
        <v>3</v>
      </c>
      <c r="G401">
        <v>435</v>
      </c>
      <c r="H401" t="s">
        <v>15</v>
      </c>
    </row>
    <row r="402" spans="1:8" x14ac:dyDescent="0.2">
      <c r="A402" t="s">
        <v>304</v>
      </c>
      <c r="B402" t="s">
        <v>331</v>
      </c>
      <c r="C402" t="str">
        <f t="shared" si="11"/>
        <v>Bibliothécaire4</v>
      </c>
      <c r="D402" t="s">
        <v>137</v>
      </c>
      <c r="E402">
        <v>4</v>
      </c>
      <c r="G402">
        <v>455</v>
      </c>
      <c r="H402" t="s">
        <v>15</v>
      </c>
    </row>
    <row r="403" spans="1:8" x14ac:dyDescent="0.2">
      <c r="A403" t="s">
        <v>304</v>
      </c>
      <c r="B403" t="s">
        <v>331</v>
      </c>
      <c r="C403" t="str">
        <f t="shared" si="11"/>
        <v>Bibliothécaire5</v>
      </c>
      <c r="D403" t="s">
        <v>137</v>
      </c>
      <c r="E403">
        <v>5</v>
      </c>
      <c r="G403">
        <v>485</v>
      </c>
      <c r="H403" t="s">
        <v>15</v>
      </c>
    </row>
    <row r="404" spans="1:8" x14ac:dyDescent="0.2">
      <c r="A404" t="s">
        <v>304</v>
      </c>
      <c r="B404" t="s">
        <v>331</v>
      </c>
      <c r="C404" t="str">
        <f t="shared" si="11"/>
        <v>Bibliothécaire6</v>
      </c>
      <c r="D404" t="s">
        <v>137</v>
      </c>
      <c r="E404">
        <v>6</v>
      </c>
      <c r="G404">
        <v>518</v>
      </c>
      <c r="H404" t="s">
        <v>15</v>
      </c>
    </row>
    <row r="405" spans="1:8" x14ac:dyDescent="0.2">
      <c r="A405" t="s">
        <v>304</v>
      </c>
      <c r="B405" t="s">
        <v>331</v>
      </c>
      <c r="C405" t="str">
        <f t="shared" si="11"/>
        <v>Bibliothécaire7</v>
      </c>
      <c r="D405" t="s">
        <v>137</v>
      </c>
      <c r="E405">
        <v>7</v>
      </c>
      <c r="G405">
        <v>550</v>
      </c>
      <c r="H405" t="s">
        <v>15</v>
      </c>
    </row>
    <row r="406" spans="1:8" x14ac:dyDescent="0.2">
      <c r="A406" t="s">
        <v>304</v>
      </c>
      <c r="B406" t="s">
        <v>331</v>
      </c>
      <c r="C406" t="str">
        <f t="shared" si="11"/>
        <v>Bibliothécaire8</v>
      </c>
      <c r="D406" t="s">
        <v>137</v>
      </c>
      <c r="E406">
        <v>8</v>
      </c>
      <c r="G406">
        <v>580</v>
      </c>
      <c r="H406" t="s">
        <v>15</v>
      </c>
    </row>
    <row r="407" spans="1:8" x14ac:dyDescent="0.2">
      <c r="A407" t="s">
        <v>304</v>
      </c>
      <c r="B407" t="s">
        <v>331</v>
      </c>
      <c r="C407" t="str">
        <f t="shared" si="11"/>
        <v>Bibliothécaire9</v>
      </c>
      <c r="D407" t="s">
        <v>137</v>
      </c>
      <c r="E407">
        <v>9</v>
      </c>
      <c r="G407">
        <v>610</v>
      </c>
      <c r="H407" t="s">
        <v>15</v>
      </c>
    </row>
    <row r="408" spans="1:8" x14ac:dyDescent="0.2">
      <c r="A408" t="s">
        <v>304</v>
      </c>
      <c r="B408" t="s">
        <v>331</v>
      </c>
      <c r="C408" t="str">
        <f t="shared" si="11"/>
        <v>Bibliothécaire10</v>
      </c>
      <c r="D408" t="s">
        <v>137</v>
      </c>
      <c r="E408">
        <v>10</v>
      </c>
      <c r="G408">
        <v>645</v>
      </c>
      <c r="H408" t="s">
        <v>15</v>
      </c>
    </row>
    <row r="409" spans="1:8" x14ac:dyDescent="0.2">
      <c r="A409" t="s">
        <v>304</v>
      </c>
      <c r="B409" t="s">
        <v>331</v>
      </c>
      <c r="C409" t="str">
        <f t="shared" si="11"/>
        <v>Bibliothécaire11</v>
      </c>
      <c r="D409" t="s">
        <v>137</v>
      </c>
      <c r="E409">
        <v>11</v>
      </c>
      <c r="G409">
        <v>678</v>
      </c>
      <c r="H409" t="s">
        <v>15</v>
      </c>
    </row>
    <row r="410" spans="1:8" x14ac:dyDescent="0.2">
      <c r="A410" t="s">
        <v>304</v>
      </c>
      <c r="B410" t="s">
        <v>331</v>
      </c>
      <c r="C410" t="str">
        <f t="shared" si="11"/>
        <v>Bibliothécaire principal1</v>
      </c>
      <c r="D410" t="s">
        <v>337</v>
      </c>
      <c r="E410">
        <v>1</v>
      </c>
      <c r="G410">
        <v>505</v>
      </c>
      <c r="H410" t="s">
        <v>15</v>
      </c>
    </row>
    <row r="411" spans="1:8" x14ac:dyDescent="0.2">
      <c r="A411" t="s">
        <v>304</v>
      </c>
      <c r="B411" t="s">
        <v>331</v>
      </c>
      <c r="C411" t="str">
        <f t="shared" si="11"/>
        <v>Bibliothécaire principal2</v>
      </c>
      <c r="D411" t="s">
        <v>337</v>
      </c>
      <c r="E411">
        <v>2</v>
      </c>
      <c r="G411">
        <v>540</v>
      </c>
      <c r="H411" t="s">
        <v>15</v>
      </c>
    </row>
    <row r="412" spans="1:8" x14ac:dyDescent="0.2">
      <c r="A412" t="s">
        <v>304</v>
      </c>
      <c r="B412" t="s">
        <v>331</v>
      </c>
      <c r="C412" t="str">
        <f t="shared" si="11"/>
        <v>Bibliothécaire principal3</v>
      </c>
      <c r="D412" t="s">
        <v>337</v>
      </c>
      <c r="E412">
        <v>3</v>
      </c>
      <c r="G412">
        <v>580</v>
      </c>
      <c r="H412" t="s">
        <v>15</v>
      </c>
    </row>
    <row r="413" spans="1:8" x14ac:dyDescent="0.2">
      <c r="A413" t="s">
        <v>304</v>
      </c>
      <c r="B413" t="s">
        <v>331</v>
      </c>
      <c r="C413" t="str">
        <f t="shared" si="11"/>
        <v>Bibliothécaire principal4</v>
      </c>
      <c r="D413" t="s">
        <v>337</v>
      </c>
      <c r="E413">
        <v>4</v>
      </c>
      <c r="G413">
        <v>610</v>
      </c>
      <c r="H413" t="s">
        <v>15</v>
      </c>
    </row>
    <row r="414" spans="1:8" x14ac:dyDescent="0.2">
      <c r="A414" t="s">
        <v>304</v>
      </c>
      <c r="B414" t="s">
        <v>331</v>
      </c>
      <c r="C414" t="str">
        <f t="shared" si="11"/>
        <v>Bibliothécaire principal5</v>
      </c>
      <c r="D414" t="s">
        <v>337</v>
      </c>
      <c r="E414">
        <v>5</v>
      </c>
      <c r="G414">
        <v>655</v>
      </c>
      <c r="H414" t="s">
        <v>15</v>
      </c>
    </row>
    <row r="415" spans="1:8" x14ac:dyDescent="0.2">
      <c r="A415" t="s">
        <v>304</v>
      </c>
      <c r="B415" t="s">
        <v>331</v>
      </c>
      <c r="C415" t="str">
        <f t="shared" si="11"/>
        <v>Bibliothécaire principal6</v>
      </c>
      <c r="D415" t="s">
        <v>337</v>
      </c>
      <c r="E415">
        <v>6</v>
      </c>
      <c r="G415">
        <v>695</v>
      </c>
      <c r="H415" t="s">
        <v>15</v>
      </c>
    </row>
    <row r="416" spans="1:8" x14ac:dyDescent="0.2">
      <c r="A416" t="s">
        <v>304</v>
      </c>
      <c r="B416" t="s">
        <v>331</v>
      </c>
      <c r="C416" t="str">
        <f t="shared" si="11"/>
        <v>Bibliothécaire principal7</v>
      </c>
      <c r="D416" t="s">
        <v>337</v>
      </c>
      <c r="E416">
        <v>7</v>
      </c>
      <c r="G416">
        <v>735</v>
      </c>
      <c r="H416" t="s">
        <v>15</v>
      </c>
    </row>
    <row r="417" spans="1:8" x14ac:dyDescent="0.2">
      <c r="A417" t="s">
        <v>304</v>
      </c>
      <c r="B417" t="s">
        <v>331</v>
      </c>
      <c r="C417" t="str">
        <f t="shared" ref="C417:C432" si="12">D417&amp;E417</f>
        <v>Bibliothécaire principal8</v>
      </c>
      <c r="D417" t="s">
        <v>337</v>
      </c>
      <c r="E417">
        <v>8</v>
      </c>
      <c r="G417">
        <v>773</v>
      </c>
      <c r="H417" t="s">
        <v>15</v>
      </c>
    </row>
    <row r="418" spans="1:8" x14ac:dyDescent="0.2">
      <c r="A418" t="s">
        <v>304</v>
      </c>
      <c r="B418" t="s">
        <v>331</v>
      </c>
      <c r="C418" t="str">
        <f t="shared" si="12"/>
        <v>Bibliothécaire principal9</v>
      </c>
      <c r="D418" t="s">
        <v>337</v>
      </c>
      <c r="E418">
        <v>9</v>
      </c>
      <c r="G418">
        <v>811</v>
      </c>
      <c r="H418" t="s">
        <v>15</v>
      </c>
    </row>
    <row r="419" spans="1:8" x14ac:dyDescent="0.2">
      <c r="A419" t="s">
        <v>304</v>
      </c>
      <c r="B419" t="s">
        <v>331</v>
      </c>
      <c r="C419" t="str">
        <f t="shared" si="12"/>
        <v>Bibliothécaire principal10</v>
      </c>
      <c r="D419" t="s">
        <v>337</v>
      </c>
      <c r="E419">
        <v>10</v>
      </c>
      <c r="G419">
        <v>826</v>
      </c>
      <c r="H419" t="s">
        <v>15</v>
      </c>
    </row>
    <row r="420" spans="1:8" x14ac:dyDescent="0.2">
      <c r="A420" t="s">
        <v>304</v>
      </c>
      <c r="B420" t="s">
        <v>332</v>
      </c>
      <c r="C420" t="str">
        <f t="shared" si="12"/>
        <v>Conservateurs bibliothèque patrimoine1</v>
      </c>
      <c r="D420" t="s">
        <v>338</v>
      </c>
      <c r="E420">
        <v>1</v>
      </c>
      <c r="G420">
        <v>455</v>
      </c>
      <c r="H420" t="s">
        <v>15</v>
      </c>
    </row>
    <row r="421" spans="1:8" x14ac:dyDescent="0.2">
      <c r="A421" t="s">
        <v>304</v>
      </c>
      <c r="B421" t="s">
        <v>332</v>
      </c>
      <c r="C421" t="str">
        <f t="shared" si="12"/>
        <v>Conservateurs bibliothèque patrimoine2</v>
      </c>
      <c r="D421" t="s">
        <v>338</v>
      </c>
      <c r="E421">
        <v>2</v>
      </c>
      <c r="G421">
        <v>484</v>
      </c>
      <c r="H421" t="s">
        <v>15</v>
      </c>
    </row>
    <row r="422" spans="1:8" x14ac:dyDescent="0.2">
      <c r="A422" t="s">
        <v>304</v>
      </c>
      <c r="B422" t="s">
        <v>332</v>
      </c>
      <c r="C422" t="str">
        <f t="shared" si="12"/>
        <v>Conservateurs bibliothèque patrimoine3</v>
      </c>
      <c r="D422" t="s">
        <v>338</v>
      </c>
      <c r="E422">
        <v>3</v>
      </c>
      <c r="G422">
        <v>525</v>
      </c>
      <c r="H422" t="s">
        <v>15</v>
      </c>
    </row>
    <row r="423" spans="1:8" x14ac:dyDescent="0.2">
      <c r="A423" t="s">
        <v>304</v>
      </c>
      <c r="B423" t="s">
        <v>332</v>
      </c>
      <c r="C423" t="str">
        <f t="shared" si="12"/>
        <v>Conservateurs bibliothèque patrimoine4</v>
      </c>
      <c r="D423" t="s">
        <v>338</v>
      </c>
      <c r="E423">
        <v>4</v>
      </c>
      <c r="G423">
        <v>566</v>
      </c>
      <c r="H423" t="s">
        <v>15</v>
      </c>
    </row>
    <row r="424" spans="1:8" x14ac:dyDescent="0.2">
      <c r="A424" t="s">
        <v>304</v>
      </c>
      <c r="B424" t="s">
        <v>332</v>
      </c>
      <c r="C424" t="str">
        <f t="shared" si="12"/>
        <v>Conservateurs bibliothèque patrimoine5</v>
      </c>
      <c r="D424" t="s">
        <v>338</v>
      </c>
      <c r="E424">
        <v>5</v>
      </c>
      <c r="G424">
        <v>607</v>
      </c>
      <c r="H424" t="s">
        <v>15</v>
      </c>
    </row>
    <row r="425" spans="1:8" x14ac:dyDescent="0.2">
      <c r="A425" t="s">
        <v>304</v>
      </c>
      <c r="B425" t="s">
        <v>332</v>
      </c>
      <c r="C425" t="str">
        <f t="shared" si="12"/>
        <v>Conservateurs bibliothèque patrimoine6</v>
      </c>
      <c r="D425" t="s">
        <v>338</v>
      </c>
      <c r="E425">
        <v>6</v>
      </c>
      <c r="G425">
        <v>664</v>
      </c>
      <c r="H425" t="s">
        <v>15</v>
      </c>
    </row>
    <row r="426" spans="1:8" x14ac:dyDescent="0.2">
      <c r="A426" t="s">
        <v>304</v>
      </c>
      <c r="B426" t="s">
        <v>332</v>
      </c>
      <c r="C426" t="str">
        <f t="shared" si="12"/>
        <v>Conservateurs bibliothèque patrimoine7</v>
      </c>
      <c r="D426" t="s">
        <v>338</v>
      </c>
      <c r="E426">
        <v>7</v>
      </c>
      <c r="G426">
        <v>721</v>
      </c>
      <c r="H426" t="s">
        <v>15</v>
      </c>
    </row>
    <row r="427" spans="1:8" x14ac:dyDescent="0.2">
      <c r="A427" t="s">
        <v>304</v>
      </c>
      <c r="B427" t="s">
        <v>332</v>
      </c>
      <c r="C427" t="str">
        <f t="shared" si="12"/>
        <v>Conservateurs bibliothèque patrimoine chef1</v>
      </c>
      <c r="D427" t="s">
        <v>339</v>
      </c>
      <c r="E427">
        <v>1</v>
      </c>
      <c r="G427">
        <v>622</v>
      </c>
      <c r="H427" t="s">
        <v>15</v>
      </c>
    </row>
    <row r="428" spans="1:8" x14ac:dyDescent="0.2">
      <c r="A428" t="s">
        <v>304</v>
      </c>
      <c r="B428" t="s">
        <v>332</v>
      </c>
      <c r="C428" t="str">
        <f t="shared" si="12"/>
        <v>Conservateurs bibliothèque patrimoine chef2</v>
      </c>
      <c r="D428" t="s">
        <v>339</v>
      </c>
      <c r="E428">
        <v>2</v>
      </c>
      <c r="G428">
        <v>682</v>
      </c>
      <c r="H428" t="s">
        <v>15</v>
      </c>
    </row>
    <row r="429" spans="1:8" x14ac:dyDescent="0.2">
      <c r="A429" t="s">
        <v>304</v>
      </c>
      <c r="B429" t="s">
        <v>332</v>
      </c>
      <c r="C429" t="str">
        <f t="shared" si="12"/>
        <v>Conservateurs bibliothèque patrimoine chef3</v>
      </c>
      <c r="D429" t="s">
        <v>339</v>
      </c>
      <c r="E429">
        <v>3</v>
      </c>
      <c r="G429">
        <v>756</v>
      </c>
      <c r="H429" t="s">
        <v>15</v>
      </c>
    </row>
    <row r="430" spans="1:8" x14ac:dyDescent="0.2">
      <c r="A430" t="s">
        <v>304</v>
      </c>
      <c r="B430" t="s">
        <v>332</v>
      </c>
      <c r="C430" t="str">
        <f t="shared" si="12"/>
        <v>Conservateurs bibliothèque patrimoine chef4</v>
      </c>
      <c r="D430" t="s">
        <v>339</v>
      </c>
      <c r="E430">
        <v>4</v>
      </c>
      <c r="G430">
        <v>826</v>
      </c>
      <c r="H430" t="s">
        <v>15</v>
      </c>
    </row>
    <row r="431" spans="1:8" x14ac:dyDescent="0.2">
      <c r="A431" t="s">
        <v>304</v>
      </c>
      <c r="B431" t="s">
        <v>332</v>
      </c>
      <c r="C431" t="str">
        <f t="shared" si="12"/>
        <v>Conservateurs bibliothèque patrimoine chef5</v>
      </c>
      <c r="D431" t="s">
        <v>339</v>
      </c>
      <c r="E431">
        <v>5</v>
      </c>
      <c r="G431">
        <v>835</v>
      </c>
      <c r="H431" t="s">
        <v>15</v>
      </c>
    </row>
    <row r="432" spans="1:8" x14ac:dyDescent="0.2">
      <c r="A432" t="s">
        <v>304</v>
      </c>
      <c r="B432" t="s">
        <v>332</v>
      </c>
      <c r="C432" t="str">
        <f t="shared" si="12"/>
        <v>Conservateurs bibliothèque patrimoine chefHEA1</v>
      </c>
      <c r="D432" t="s">
        <v>339</v>
      </c>
      <c r="E432" s="13" t="s">
        <v>12</v>
      </c>
      <c r="G432">
        <v>895</v>
      </c>
      <c r="H432" t="s">
        <v>15</v>
      </c>
    </row>
    <row r="433" spans="1:8" x14ac:dyDescent="0.2">
      <c r="A433" t="s">
        <v>304</v>
      </c>
      <c r="B433" t="s">
        <v>332</v>
      </c>
      <c r="C433" t="str">
        <f t="shared" ref="C433:C496" si="13">D433&amp;E433</f>
        <v>Conservateurs bibliothèque patrimoine chefHEA2</v>
      </c>
      <c r="D433" t="s">
        <v>339</v>
      </c>
      <c r="E433" s="13" t="s">
        <v>13</v>
      </c>
      <c r="G433">
        <v>930</v>
      </c>
      <c r="H433" t="s">
        <v>15</v>
      </c>
    </row>
    <row r="434" spans="1:8" x14ac:dyDescent="0.2">
      <c r="A434" t="s">
        <v>304</v>
      </c>
      <c r="B434" t="s">
        <v>332</v>
      </c>
      <c r="C434" t="str">
        <f t="shared" si="13"/>
        <v>Conservateurs bibliothèque patrimoine chefHEA3</v>
      </c>
      <c r="D434" t="s">
        <v>339</v>
      </c>
      <c r="E434" s="13" t="s">
        <v>14</v>
      </c>
      <c r="G434">
        <v>977</v>
      </c>
      <c r="H434" t="s">
        <v>15</v>
      </c>
    </row>
    <row r="435" spans="1:8" x14ac:dyDescent="0.2">
      <c r="A435" t="s">
        <v>304</v>
      </c>
      <c r="B435" t="s">
        <v>333</v>
      </c>
      <c r="C435" t="str">
        <f t="shared" si="13"/>
        <v>Assistants conservation1</v>
      </c>
      <c r="D435" t="s">
        <v>340</v>
      </c>
      <c r="E435">
        <v>1</v>
      </c>
      <c r="G435">
        <v>373</v>
      </c>
      <c r="H435" t="s">
        <v>8</v>
      </c>
    </row>
    <row r="436" spans="1:8" x14ac:dyDescent="0.2">
      <c r="A436" t="s">
        <v>304</v>
      </c>
      <c r="B436" t="s">
        <v>333</v>
      </c>
      <c r="C436" t="str">
        <f t="shared" si="13"/>
        <v>Assistants conservation2</v>
      </c>
      <c r="D436" t="s">
        <v>340</v>
      </c>
      <c r="E436">
        <v>2</v>
      </c>
      <c r="G436">
        <v>374</v>
      </c>
      <c r="H436" t="s">
        <v>8</v>
      </c>
    </row>
    <row r="437" spans="1:8" x14ac:dyDescent="0.2">
      <c r="A437" t="s">
        <v>304</v>
      </c>
      <c r="B437" t="s">
        <v>333</v>
      </c>
      <c r="C437" t="str">
        <f t="shared" si="13"/>
        <v>Assistants conservation3</v>
      </c>
      <c r="D437" t="s">
        <v>340</v>
      </c>
      <c r="E437">
        <v>3</v>
      </c>
      <c r="G437">
        <v>375</v>
      </c>
      <c r="H437" t="s">
        <v>8</v>
      </c>
    </row>
    <row r="438" spans="1:8" x14ac:dyDescent="0.2">
      <c r="A438" t="s">
        <v>304</v>
      </c>
      <c r="B438" t="s">
        <v>333</v>
      </c>
      <c r="C438" t="str">
        <f t="shared" si="13"/>
        <v>Assistants conservation4</v>
      </c>
      <c r="D438" t="s">
        <v>340</v>
      </c>
      <c r="E438">
        <v>4</v>
      </c>
      <c r="G438">
        <v>376</v>
      </c>
      <c r="H438" t="s">
        <v>8</v>
      </c>
    </row>
    <row r="439" spans="1:8" x14ac:dyDescent="0.2">
      <c r="A439" t="s">
        <v>304</v>
      </c>
      <c r="B439" t="s">
        <v>333</v>
      </c>
      <c r="C439" t="str">
        <f t="shared" si="13"/>
        <v>Assistants conservation5</v>
      </c>
      <c r="D439" t="s">
        <v>340</v>
      </c>
      <c r="E439">
        <v>5</v>
      </c>
      <c r="G439">
        <v>377</v>
      </c>
      <c r="H439" t="s">
        <v>8</v>
      </c>
    </row>
    <row r="440" spans="1:8" x14ac:dyDescent="0.2">
      <c r="A440" t="s">
        <v>304</v>
      </c>
      <c r="B440" t="s">
        <v>333</v>
      </c>
      <c r="C440" t="str">
        <f t="shared" si="13"/>
        <v>Assistants conservation6</v>
      </c>
      <c r="D440" t="s">
        <v>340</v>
      </c>
      <c r="E440">
        <v>6</v>
      </c>
      <c r="G440">
        <v>386</v>
      </c>
      <c r="H440" t="s">
        <v>8</v>
      </c>
    </row>
    <row r="441" spans="1:8" x14ac:dyDescent="0.2">
      <c r="A441" t="s">
        <v>304</v>
      </c>
      <c r="B441" t="s">
        <v>333</v>
      </c>
      <c r="C441" t="str">
        <f t="shared" si="13"/>
        <v>Assistants conservation7</v>
      </c>
      <c r="D441" t="s">
        <v>340</v>
      </c>
      <c r="E441">
        <v>7</v>
      </c>
      <c r="G441">
        <v>401</v>
      </c>
      <c r="H441" t="s">
        <v>8</v>
      </c>
    </row>
    <row r="442" spans="1:8" x14ac:dyDescent="0.2">
      <c r="A442" t="s">
        <v>304</v>
      </c>
      <c r="B442" t="s">
        <v>333</v>
      </c>
      <c r="C442" t="str">
        <f t="shared" si="13"/>
        <v>Assistants conservation8</v>
      </c>
      <c r="D442" t="s">
        <v>340</v>
      </c>
      <c r="E442">
        <v>8</v>
      </c>
      <c r="G442">
        <v>420</v>
      </c>
      <c r="H442" t="s">
        <v>8</v>
      </c>
    </row>
    <row r="443" spans="1:8" x14ac:dyDescent="0.2">
      <c r="A443" t="s">
        <v>304</v>
      </c>
      <c r="B443" t="s">
        <v>333</v>
      </c>
      <c r="C443" t="str">
        <f t="shared" si="13"/>
        <v>Assistants conservation9</v>
      </c>
      <c r="D443" t="s">
        <v>340</v>
      </c>
      <c r="E443">
        <v>9</v>
      </c>
      <c r="G443">
        <v>436</v>
      </c>
      <c r="H443" t="s">
        <v>8</v>
      </c>
    </row>
    <row r="444" spans="1:8" x14ac:dyDescent="0.2">
      <c r="A444" t="s">
        <v>304</v>
      </c>
      <c r="B444" t="s">
        <v>333</v>
      </c>
      <c r="C444" t="str">
        <f t="shared" si="13"/>
        <v>Assistants conservation10</v>
      </c>
      <c r="D444" t="s">
        <v>340</v>
      </c>
      <c r="E444">
        <v>10</v>
      </c>
      <c r="G444">
        <v>446</v>
      </c>
      <c r="H444" t="s">
        <v>8</v>
      </c>
    </row>
    <row r="445" spans="1:8" x14ac:dyDescent="0.2">
      <c r="A445" t="s">
        <v>304</v>
      </c>
      <c r="B445" t="s">
        <v>333</v>
      </c>
      <c r="C445" t="str">
        <f t="shared" si="13"/>
        <v>Assistants conservation11</v>
      </c>
      <c r="D445" t="s">
        <v>340</v>
      </c>
      <c r="E445">
        <v>11</v>
      </c>
      <c r="G445">
        <v>462</v>
      </c>
      <c r="H445" t="s">
        <v>8</v>
      </c>
    </row>
    <row r="446" spans="1:8" x14ac:dyDescent="0.2">
      <c r="A446" t="s">
        <v>304</v>
      </c>
      <c r="B446" t="s">
        <v>333</v>
      </c>
      <c r="C446" t="str">
        <f t="shared" si="13"/>
        <v>Assistants conservation12</v>
      </c>
      <c r="D446" t="s">
        <v>340</v>
      </c>
      <c r="E446">
        <v>12</v>
      </c>
      <c r="G446">
        <v>482</v>
      </c>
      <c r="H446" t="s">
        <v>8</v>
      </c>
    </row>
    <row r="447" spans="1:8" x14ac:dyDescent="0.2">
      <c r="A447" t="s">
        <v>304</v>
      </c>
      <c r="B447" t="s">
        <v>333</v>
      </c>
      <c r="C447" t="str">
        <f t="shared" si="13"/>
        <v>Assistants conservation13</v>
      </c>
      <c r="D447" t="s">
        <v>340</v>
      </c>
      <c r="E447">
        <v>13</v>
      </c>
      <c r="G447">
        <v>508</v>
      </c>
      <c r="H447" t="s">
        <v>8</v>
      </c>
    </row>
    <row r="448" spans="1:8" x14ac:dyDescent="0.2">
      <c r="A448" t="s">
        <v>304</v>
      </c>
      <c r="B448" t="s">
        <v>333</v>
      </c>
      <c r="C448" t="str">
        <f t="shared" si="13"/>
        <v>Assistants conservation principal 2° classe1</v>
      </c>
      <c r="D448" t="s">
        <v>341</v>
      </c>
      <c r="E448">
        <v>1</v>
      </c>
      <c r="G448">
        <v>376</v>
      </c>
      <c r="H448" t="s">
        <v>8</v>
      </c>
    </row>
    <row r="449" spans="1:8" x14ac:dyDescent="0.2">
      <c r="A449" t="s">
        <v>304</v>
      </c>
      <c r="B449" t="s">
        <v>333</v>
      </c>
      <c r="C449" t="str">
        <f t="shared" si="13"/>
        <v>Assistants conservation principal 2° classe2</v>
      </c>
      <c r="D449" t="s">
        <v>341</v>
      </c>
      <c r="E449">
        <v>2</v>
      </c>
      <c r="G449">
        <v>377</v>
      </c>
      <c r="H449" t="s">
        <v>8</v>
      </c>
    </row>
    <row r="450" spans="1:8" x14ac:dyDescent="0.2">
      <c r="A450" t="s">
        <v>304</v>
      </c>
      <c r="B450" t="s">
        <v>333</v>
      </c>
      <c r="C450" t="str">
        <f t="shared" si="13"/>
        <v>Assistants conservation principal 2° classe3</v>
      </c>
      <c r="D450" t="s">
        <v>341</v>
      </c>
      <c r="E450">
        <v>3</v>
      </c>
      <c r="G450">
        <v>384</v>
      </c>
      <c r="H450" t="s">
        <v>8</v>
      </c>
    </row>
    <row r="451" spans="1:8" x14ac:dyDescent="0.2">
      <c r="A451" t="s">
        <v>304</v>
      </c>
      <c r="B451" t="s">
        <v>333</v>
      </c>
      <c r="C451" t="str">
        <f t="shared" si="13"/>
        <v>Assistants conservation principal 2° classe4</v>
      </c>
      <c r="D451" t="s">
        <v>341</v>
      </c>
      <c r="E451">
        <v>4</v>
      </c>
      <c r="G451">
        <v>395</v>
      </c>
      <c r="H451" t="s">
        <v>8</v>
      </c>
    </row>
    <row r="452" spans="1:8" x14ac:dyDescent="0.2">
      <c r="A452" t="s">
        <v>304</v>
      </c>
      <c r="B452" t="s">
        <v>333</v>
      </c>
      <c r="C452" t="str">
        <f t="shared" si="13"/>
        <v>Assistants conservation principal 2° classe5</v>
      </c>
      <c r="D452" t="s">
        <v>341</v>
      </c>
      <c r="E452">
        <v>5</v>
      </c>
      <c r="G452">
        <v>406</v>
      </c>
      <c r="H452" t="s">
        <v>8</v>
      </c>
    </row>
    <row r="453" spans="1:8" x14ac:dyDescent="0.2">
      <c r="A453" t="s">
        <v>304</v>
      </c>
      <c r="B453" t="s">
        <v>333</v>
      </c>
      <c r="C453" t="str">
        <f t="shared" si="13"/>
        <v>Assistants conservation principal 2° classe6</v>
      </c>
      <c r="D453" t="s">
        <v>341</v>
      </c>
      <c r="E453">
        <v>6</v>
      </c>
      <c r="G453">
        <v>421</v>
      </c>
      <c r="H453" t="s">
        <v>8</v>
      </c>
    </row>
    <row r="454" spans="1:8" x14ac:dyDescent="0.2">
      <c r="A454" t="s">
        <v>304</v>
      </c>
      <c r="B454" t="s">
        <v>333</v>
      </c>
      <c r="C454" t="str">
        <f t="shared" si="13"/>
        <v>Assistants conservation principal 2° classe7</v>
      </c>
      <c r="D454" t="s">
        <v>341</v>
      </c>
      <c r="E454">
        <v>7</v>
      </c>
      <c r="G454">
        <v>441</v>
      </c>
      <c r="H454" t="s">
        <v>8</v>
      </c>
    </row>
    <row r="455" spans="1:8" x14ac:dyDescent="0.2">
      <c r="A455" t="s">
        <v>304</v>
      </c>
      <c r="B455" t="s">
        <v>333</v>
      </c>
      <c r="C455" t="str">
        <f t="shared" si="13"/>
        <v>Assistants conservation principal 2° classe8</v>
      </c>
      <c r="D455" t="s">
        <v>341</v>
      </c>
      <c r="E455">
        <v>8</v>
      </c>
      <c r="G455">
        <v>457</v>
      </c>
      <c r="H455" t="s">
        <v>8</v>
      </c>
    </row>
    <row r="456" spans="1:8" x14ac:dyDescent="0.2">
      <c r="A456" t="s">
        <v>304</v>
      </c>
      <c r="B456" t="s">
        <v>333</v>
      </c>
      <c r="C456" t="str">
        <f t="shared" si="13"/>
        <v>Assistants conservation principal 2° classe9</v>
      </c>
      <c r="D456" t="s">
        <v>341</v>
      </c>
      <c r="E456">
        <v>9</v>
      </c>
      <c r="G456">
        <v>466</v>
      </c>
      <c r="H456" t="s">
        <v>8</v>
      </c>
    </row>
    <row r="457" spans="1:8" x14ac:dyDescent="0.2">
      <c r="A457" t="s">
        <v>304</v>
      </c>
      <c r="B457" t="s">
        <v>333</v>
      </c>
      <c r="C457" t="str">
        <f t="shared" si="13"/>
        <v>Assistants conservation principal 2° classe10</v>
      </c>
      <c r="D457" t="s">
        <v>341</v>
      </c>
      <c r="E457">
        <v>10</v>
      </c>
      <c r="G457">
        <v>485</v>
      </c>
      <c r="H457" t="s">
        <v>8</v>
      </c>
    </row>
    <row r="458" spans="1:8" x14ac:dyDescent="0.2">
      <c r="A458" t="s">
        <v>304</v>
      </c>
      <c r="B458" t="s">
        <v>333</v>
      </c>
      <c r="C458" t="str">
        <f t="shared" si="13"/>
        <v>Assistants conservation principal 2° classe11</v>
      </c>
      <c r="D458" t="s">
        <v>341</v>
      </c>
      <c r="E458">
        <v>11</v>
      </c>
      <c r="G458">
        <v>509</v>
      </c>
      <c r="H458" t="s">
        <v>8</v>
      </c>
    </row>
    <row r="459" spans="1:8" x14ac:dyDescent="0.2">
      <c r="A459" t="s">
        <v>304</v>
      </c>
      <c r="B459" t="s">
        <v>333</v>
      </c>
      <c r="C459" t="str">
        <f t="shared" si="13"/>
        <v>Assistants conservation principal 2° classe12</v>
      </c>
      <c r="D459" t="s">
        <v>341</v>
      </c>
      <c r="E459">
        <v>12</v>
      </c>
      <c r="G459">
        <v>539</v>
      </c>
      <c r="H459" t="s">
        <v>8</v>
      </c>
    </row>
    <row r="460" spans="1:8" x14ac:dyDescent="0.2">
      <c r="A460" t="s">
        <v>304</v>
      </c>
      <c r="B460" t="s">
        <v>333</v>
      </c>
      <c r="C460" t="str">
        <f t="shared" si="13"/>
        <v>Assistants conservation principal 1° classe1</v>
      </c>
      <c r="D460" t="s">
        <v>342</v>
      </c>
      <c r="E460">
        <v>1</v>
      </c>
      <c r="G460">
        <v>397</v>
      </c>
      <c r="H460" t="s">
        <v>8</v>
      </c>
    </row>
    <row r="461" spans="1:8" x14ac:dyDescent="0.2">
      <c r="A461" t="s">
        <v>304</v>
      </c>
      <c r="B461" t="s">
        <v>333</v>
      </c>
      <c r="C461" t="str">
        <f t="shared" si="13"/>
        <v>Assistants conservation principal 1° classe2</v>
      </c>
      <c r="D461" t="s">
        <v>342</v>
      </c>
      <c r="E461">
        <v>2</v>
      </c>
      <c r="G461">
        <v>409</v>
      </c>
      <c r="H461" t="s">
        <v>8</v>
      </c>
    </row>
    <row r="462" spans="1:8" x14ac:dyDescent="0.2">
      <c r="A462" t="s">
        <v>304</v>
      </c>
      <c r="B462" t="s">
        <v>333</v>
      </c>
      <c r="C462" t="str">
        <f t="shared" si="13"/>
        <v>Assistants conservation principal 1° classe3</v>
      </c>
      <c r="D462" t="s">
        <v>342</v>
      </c>
      <c r="E462">
        <v>3</v>
      </c>
      <c r="G462">
        <v>424</v>
      </c>
      <c r="H462" t="s">
        <v>8</v>
      </c>
    </row>
    <row r="463" spans="1:8" x14ac:dyDescent="0.2">
      <c r="A463" t="s">
        <v>304</v>
      </c>
      <c r="B463" t="s">
        <v>333</v>
      </c>
      <c r="C463" t="str">
        <f t="shared" si="13"/>
        <v>Assistants conservation principal 1° classe4</v>
      </c>
      <c r="D463" t="s">
        <v>342</v>
      </c>
      <c r="E463">
        <v>4</v>
      </c>
      <c r="G463">
        <v>446</v>
      </c>
      <c r="H463" t="s">
        <v>8</v>
      </c>
    </row>
    <row r="464" spans="1:8" x14ac:dyDescent="0.2">
      <c r="A464" t="s">
        <v>304</v>
      </c>
      <c r="B464" t="s">
        <v>333</v>
      </c>
      <c r="C464" t="str">
        <f t="shared" si="13"/>
        <v>Assistants conservation principal 1° classe5</v>
      </c>
      <c r="D464" t="s">
        <v>342</v>
      </c>
      <c r="E464">
        <v>5</v>
      </c>
      <c r="G464">
        <v>470</v>
      </c>
      <c r="H464" t="s">
        <v>8</v>
      </c>
    </row>
    <row r="465" spans="1:8" x14ac:dyDescent="0.2">
      <c r="A465" t="s">
        <v>304</v>
      </c>
      <c r="B465" t="s">
        <v>333</v>
      </c>
      <c r="C465" t="str">
        <f t="shared" si="13"/>
        <v>Assistants conservation principal 1° classe6</v>
      </c>
      <c r="D465" t="s">
        <v>342</v>
      </c>
      <c r="E465">
        <v>6</v>
      </c>
      <c r="G465">
        <v>489</v>
      </c>
      <c r="H465" t="s">
        <v>8</v>
      </c>
    </row>
    <row r="466" spans="1:8" x14ac:dyDescent="0.2">
      <c r="A466" t="s">
        <v>304</v>
      </c>
      <c r="B466" t="s">
        <v>333</v>
      </c>
      <c r="C466" t="str">
        <f t="shared" si="13"/>
        <v>Assistants conservation principal 1° classe7</v>
      </c>
      <c r="D466" t="s">
        <v>342</v>
      </c>
      <c r="E466">
        <v>7</v>
      </c>
      <c r="G466">
        <v>513</v>
      </c>
      <c r="H466" t="s">
        <v>8</v>
      </c>
    </row>
    <row r="467" spans="1:8" x14ac:dyDescent="0.2">
      <c r="A467" t="s">
        <v>304</v>
      </c>
      <c r="B467" t="s">
        <v>333</v>
      </c>
      <c r="C467" t="str">
        <f t="shared" si="13"/>
        <v>Assistants conservation principal 1° classe8</v>
      </c>
      <c r="D467" t="s">
        <v>342</v>
      </c>
      <c r="E467">
        <v>8</v>
      </c>
      <c r="G467">
        <v>539</v>
      </c>
      <c r="H467" t="s">
        <v>8</v>
      </c>
    </row>
    <row r="468" spans="1:8" x14ac:dyDescent="0.2">
      <c r="A468" t="s">
        <v>304</v>
      </c>
      <c r="B468" t="s">
        <v>333</v>
      </c>
      <c r="C468" t="str">
        <f t="shared" si="13"/>
        <v>Assistants conservation principal 1° classe9</v>
      </c>
      <c r="D468" t="s">
        <v>342</v>
      </c>
      <c r="E468">
        <v>9</v>
      </c>
      <c r="G468">
        <v>556</v>
      </c>
      <c r="H468" t="s">
        <v>8</v>
      </c>
    </row>
    <row r="469" spans="1:8" x14ac:dyDescent="0.2">
      <c r="A469" t="s">
        <v>304</v>
      </c>
      <c r="B469" t="s">
        <v>333</v>
      </c>
      <c r="C469" t="str">
        <f t="shared" si="13"/>
        <v>Assistants conservation principal 1° classe10</v>
      </c>
      <c r="D469" t="s">
        <v>342</v>
      </c>
      <c r="E469">
        <v>10</v>
      </c>
      <c r="G469">
        <v>574</v>
      </c>
      <c r="H469" t="s">
        <v>8</v>
      </c>
    </row>
    <row r="470" spans="1:8" x14ac:dyDescent="0.2">
      <c r="A470" t="s">
        <v>304</v>
      </c>
      <c r="B470" t="s">
        <v>333</v>
      </c>
      <c r="C470" t="str">
        <f t="shared" si="13"/>
        <v>Assistants conservation principal 1° classe11</v>
      </c>
      <c r="D470" t="s">
        <v>342</v>
      </c>
      <c r="E470">
        <v>11</v>
      </c>
      <c r="G470">
        <v>592</v>
      </c>
      <c r="H470" t="s">
        <v>8</v>
      </c>
    </row>
    <row r="471" spans="1:8" x14ac:dyDescent="0.2">
      <c r="A471" t="s">
        <v>304</v>
      </c>
      <c r="B471" t="s">
        <v>334</v>
      </c>
      <c r="C471" t="str">
        <f t="shared" si="13"/>
        <v>Adjoint patrimoine1</v>
      </c>
      <c r="D471" t="s">
        <v>343</v>
      </c>
      <c r="E471">
        <v>1</v>
      </c>
      <c r="G471">
        <v>366</v>
      </c>
      <c r="H471" t="s">
        <v>74</v>
      </c>
    </row>
    <row r="472" spans="1:8" x14ac:dyDescent="0.2">
      <c r="A472" t="s">
        <v>304</v>
      </c>
      <c r="B472" t="s">
        <v>334</v>
      </c>
      <c r="C472" t="str">
        <f t="shared" si="13"/>
        <v>Adjoint patrimoine2</v>
      </c>
      <c r="D472" t="s">
        <v>343</v>
      </c>
      <c r="E472">
        <v>2</v>
      </c>
      <c r="G472">
        <v>367</v>
      </c>
      <c r="H472" t="s">
        <v>74</v>
      </c>
    </row>
    <row r="473" spans="1:8" x14ac:dyDescent="0.2">
      <c r="A473" t="s">
        <v>304</v>
      </c>
      <c r="B473" t="s">
        <v>334</v>
      </c>
      <c r="C473" t="str">
        <f t="shared" si="13"/>
        <v>Adjoint patrimoine3</v>
      </c>
      <c r="D473" t="s">
        <v>343</v>
      </c>
      <c r="E473">
        <v>3</v>
      </c>
      <c r="G473">
        <v>368</v>
      </c>
      <c r="H473" t="s">
        <v>74</v>
      </c>
    </row>
    <row r="474" spans="1:8" x14ac:dyDescent="0.2">
      <c r="A474" t="s">
        <v>304</v>
      </c>
      <c r="B474" t="s">
        <v>334</v>
      </c>
      <c r="C474" t="str">
        <f t="shared" si="13"/>
        <v>Adjoint patrimoine4</v>
      </c>
      <c r="D474" t="s">
        <v>343</v>
      </c>
      <c r="E474">
        <v>4</v>
      </c>
      <c r="G474">
        <v>369</v>
      </c>
      <c r="H474" t="s">
        <v>74</v>
      </c>
    </row>
    <row r="475" spans="1:8" x14ac:dyDescent="0.2">
      <c r="A475" t="s">
        <v>304</v>
      </c>
      <c r="B475" t="s">
        <v>334</v>
      </c>
      <c r="C475" t="str">
        <f t="shared" si="13"/>
        <v>Adjoint patrimoine5</v>
      </c>
      <c r="D475" t="s">
        <v>343</v>
      </c>
      <c r="E475">
        <v>5</v>
      </c>
      <c r="G475">
        <v>370</v>
      </c>
      <c r="H475" t="s">
        <v>74</v>
      </c>
    </row>
    <row r="476" spans="1:8" x14ac:dyDescent="0.2">
      <c r="A476" t="s">
        <v>304</v>
      </c>
      <c r="B476" t="s">
        <v>334</v>
      </c>
      <c r="C476" t="str">
        <f t="shared" si="13"/>
        <v>Adjoint patrimoine6</v>
      </c>
      <c r="D476" t="s">
        <v>343</v>
      </c>
      <c r="E476">
        <v>6</v>
      </c>
      <c r="G476">
        <v>371</v>
      </c>
      <c r="H476" t="s">
        <v>74</v>
      </c>
    </row>
    <row r="477" spans="1:8" x14ac:dyDescent="0.2">
      <c r="A477" t="s">
        <v>304</v>
      </c>
      <c r="B477" t="s">
        <v>334</v>
      </c>
      <c r="C477" t="str">
        <f t="shared" si="13"/>
        <v>Adjoint patrimoine7</v>
      </c>
      <c r="D477" t="s">
        <v>343</v>
      </c>
      <c r="E477">
        <v>7</v>
      </c>
      <c r="G477">
        <v>372</v>
      </c>
      <c r="H477" t="s">
        <v>74</v>
      </c>
    </row>
    <row r="478" spans="1:8" x14ac:dyDescent="0.2">
      <c r="A478" t="s">
        <v>304</v>
      </c>
      <c r="B478" t="s">
        <v>334</v>
      </c>
      <c r="C478" t="str">
        <f t="shared" si="13"/>
        <v>Adjoint patrimoine8</v>
      </c>
      <c r="D478" t="s">
        <v>343</v>
      </c>
      <c r="E478">
        <v>8</v>
      </c>
      <c r="G478">
        <v>373</v>
      </c>
      <c r="H478" t="s">
        <v>74</v>
      </c>
    </row>
    <row r="479" spans="1:8" x14ac:dyDescent="0.2">
      <c r="A479" t="s">
        <v>304</v>
      </c>
      <c r="B479" t="s">
        <v>334</v>
      </c>
      <c r="C479" t="str">
        <f t="shared" si="13"/>
        <v>Adjoint patrimoine9</v>
      </c>
      <c r="D479" t="s">
        <v>343</v>
      </c>
      <c r="E479">
        <v>9</v>
      </c>
      <c r="G479">
        <v>376</v>
      </c>
      <c r="H479" t="s">
        <v>74</v>
      </c>
    </row>
    <row r="480" spans="1:8" x14ac:dyDescent="0.2">
      <c r="A480" t="s">
        <v>304</v>
      </c>
      <c r="B480" t="s">
        <v>334</v>
      </c>
      <c r="C480" t="str">
        <f t="shared" si="13"/>
        <v>Adjoint patrimoine10</v>
      </c>
      <c r="D480" t="s">
        <v>343</v>
      </c>
      <c r="E480">
        <v>10</v>
      </c>
      <c r="G480">
        <v>377</v>
      </c>
      <c r="H480" t="s">
        <v>74</v>
      </c>
    </row>
    <row r="481" spans="1:8" x14ac:dyDescent="0.2">
      <c r="A481" t="s">
        <v>304</v>
      </c>
      <c r="B481" t="s">
        <v>334</v>
      </c>
      <c r="C481" t="str">
        <f t="shared" si="13"/>
        <v>Adjoint patrimoine11</v>
      </c>
      <c r="D481" t="s">
        <v>343</v>
      </c>
      <c r="E481">
        <v>11</v>
      </c>
      <c r="G481">
        <v>387</v>
      </c>
      <c r="H481" t="s">
        <v>74</v>
      </c>
    </row>
    <row r="482" spans="1:8" x14ac:dyDescent="0.2">
      <c r="A482" t="s">
        <v>304</v>
      </c>
      <c r="B482" t="s">
        <v>334</v>
      </c>
      <c r="C482" t="str">
        <f t="shared" si="13"/>
        <v>Adjoint patrimoine principal 2° classe 1</v>
      </c>
      <c r="D482" t="s">
        <v>344</v>
      </c>
      <c r="E482">
        <v>1</v>
      </c>
      <c r="G482">
        <v>367</v>
      </c>
      <c r="H482" t="s">
        <v>74</v>
      </c>
    </row>
    <row r="483" spans="1:8" x14ac:dyDescent="0.2">
      <c r="A483" t="s">
        <v>304</v>
      </c>
      <c r="B483" t="s">
        <v>334</v>
      </c>
      <c r="C483" t="str">
        <f t="shared" si="13"/>
        <v>Adjoint patrimoine principal 2° classe 2</v>
      </c>
      <c r="D483" t="s">
        <v>344</v>
      </c>
      <c r="E483">
        <v>2</v>
      </c>
      <c r="G483">
        <v>369</v>
      </c>
      <c r="H483" t="s">
        <v>74</v>
      </c>
    </row>
    <row r="484" spans="1:8" x14ac:dyDescent="0.2">
      <c r="A484" t="s">
        <v>304</v>
      </c>
      <c r="B484" t="s">
        <v>334</v>
      </c>
      <c r="C484" t="str">
        <f t="shared" si="13"/>
        <v>Adjoint patrimoine principal 2° classe 3</v>
      </c>
      <c r="D484" t="s">
        <v>344</v>
      </c>
      <c r="E484">
        <v>3</v>
      </c>
      <c r="G484">
        <v>370</v>
      </c>
      <c r="H484" t="s">
        <v>74</v>
      </c>
    </row>
    <row r="485" spans="1:8" x14ac:dyDescent="0.2">
      <c r="A485" t="s">
        <v>304</v>
      </c>
      <c r="B485" t="s">
        <v>334</v>
      </c>
      <c r="C485" t="str">
        <f t="shared" si="13"/>
        <v>Adjoint patrimoine principal 2° classe 4</v>
      </c>
      <c r="D485" t="s">
        <v>344</v>
      </c>
      <c r="E485">
        <v>4</v>
      </c>
      <c r="G485">
        <v>373</v>
      </c>
      <c r="H485" t="s">
        <v>74</v>
      </c>
    </row>
    <row r="486" spans="1:8" x14ac:dyDescent="0.2">
      <c r="A486" t="s">
        <v>304</v>
      </c>
      <c r="B486" t="s">
        <v>334</v>
      </c>
      <c r="C486" t="str">
        <f t="shared" si="13"/>
        <v>Adjoint patrimoine principal 2° classe 5</v>
      </c>
      <c r="D486" t="s">
        <v>344</v>
      </c>
      <c r="E486">
        <v>5</v>
      </c>
      <c r="G486">
        <v>374</v>
      </c>
      <c r="H486" t="s">
        <v>74</v>
      </c>
    </row>
    <row r="487" spans="1:8" x14ac:dyDescent="0.2">
      <c r="A487" t="s">
        <v>304</v>
      </c>
      <c r="B487" t="s">
        <v>334</v>
      </c>
      <c r="C487" t="str">
        <f t="shared" si="13"/>
        <v>Adjoint patrimoine principal 2° classe 6</v>
      </c>
      <c r="D487" t="s">
        <v>344</v>
      </c>
      <c r="E487">
        <v>6</v>
      </c>
      <c r="G487">
        <v>376</v>
      </c>
      <c r="H487" t="s">
        <v>74</v>
      </c>
    </row>
    <row r="488" spans="1:8" x14ac:dyDescent="0.2">
      <c r="A488" t="s">
        <v>304</v>
      </c>
      <c r="B488" t="s">
        <v>334</v>
      </c>
      <c r="C488" t="str">
        <f t="shared" si="13"/>
        <v>Adjoint patrimoine principal 2° classe 7</v>
      </c>
      <c r="D488" t="s">
        <v>344</v>
      </c>
      <c r="E488">
        <v>7</v>
      </c>
      <c r="G488">
        <v>377</v>
      </c>
      <c r="H488" t="s">
        <v>74</v>
      </c>
    </row>
    <row r="489" spans="1:8" x14ac:dyDescent="0.2">
      <c r="A489" t="s">
        <v>304</v>
      </c>
      <c r="B489" t="s">
        <v>334</v>
      </c>
      <c r="C489" t="str">
        <f t="shared" si="13"/>
        <v>Adjoint patrimoine principal 2° classe 8</v>
      </c>
      <c r="D489" t="s">
        <v>344</v>
      </c>
      <c r="E489">
        <v>8</v>
      </c>
      <c r="G489">
        <v>385</v>
      </c>
      <c r="H489" t="s">
        <v>74</v>
      </c>
    </row>
    <row r="490" spans="1:8" x14ac:dyDescent="0.2">
      <c r="A490" t="s">
        <v>304</v>
      </c>
      <c r="B490" t="s">
        <v>334</v>
      </c>
      <c r="C490" t="str">
        <f t="shared" si="13"/>
        <v>Adjoint patrimoine principal 2° classe 9</v>
      </c>
      <c r="D490" t="s">
        <v>344</v>
      </c>
      <c r="E490">
        <v>9</v>
      </c>
      <c r="G490">
        <v>397</v>
      </c>
      <c r="H490" t="s">
        <v>74</v>
      </c>
    </row>
    <row r="491" spans="1:8" x14ac:dyDescent="0.2">
      <c r="A491" t="s">
        <v>304</v>
      </c>
      <c r="B491" t="s">
        <v>334</v>
      </c>
      <c r="C491" t="str">
        <f t="shared" si="13"/>
        <v>Adjoint patrimoine principal 2° classe 10</v>
      </c>
      <c r="D491" t="s">
        <v>344</v>
      </c>
      <c r="E491">
        <v>10</v>
      </c>
      <c r="G491">
        <v>409</v>
      </c>
      <c r="H491" t="s">
        <v>74</v>
      </c>
    </row>
    <row r="492" spans="1:8" x14ac:dyDescent="0.2">
      <c r="A492" t="s">
        <v>304</v>
      </c>
      <c r="B492" t="s">
        <v>334</v>
      </c>
      <c r="C492" t="str">
        <f t="shared" si="13"/>
        <v>Adjoint patrimoine principal 2° classe 11</v>
      </c>
      <c r="D492" t="s">
        <v>344</v>
      </c>
      <c r="E492">
        <v>11</v>
      </c>
      <c r="G492">
        <v>417</v>
      </c>
      <c r="H492" t="s">
        <v>74</v>
      </c>
    </row>
    <row r="493" spans="1:8" x14ac:dyDescent="0.2">
      <c r="A493" t="s">
        <v>304</v>
      </c>
      <c r="B493" t="s">
        <v>334</v>
      </c>
      <c r="C493" t="str">
        <f t="shared" si="13"/>
        <v>Adjoint patrimoine principal 2° classe 12</v>
      </c>
      <c r="D493" t="s">
        <v>344</v>
      </c>
      <c r="E493">
        <v>12</v>
      </c>
      <c r="G493">
        <v>425</v>
      </c>
      <c r="H493" t="s">
        <v>74</v>
      </c>
    </row>
    <row r="494" spans="1:8" x14ac:dyDescent="0.2">
      <c r="A494" t="s">
        <v>304</v>
      </c>
      <c r="B494" t="s">
        <v>334</v>
      </c>
      <c r="C494" t="str">
        <f t="shared" si="13"/>
        <v>Adjoint patrimoine principal 1° classe 1</v>
      </c>
      <c r="D494" t="s">
        <v>345</v>
      </c>
      <c r="E494">
        <v>1</v>
      </c>
      <c r="G494">
        <v>373</v>
      </c>
      <c r="H494" t="s">
        <v>74</v>
      </c>
    </row>
    <row r="495" spans="1:8" x14ac:dyDescent="0.2">
      <c r="A495" t="s">
        <v>304</v>
      </c>
      <c r="B495" t="s">
        <v>334</v>
      </c>
      <c r="C495" t="str">
        <f t="shared" si="13"/>
        <v>Adjoint patrimoine principal 1° classe 2</v>
      </c>
      <c r="D495" t="s">
        <v>345</v>
      </c>
      <c r="E495">
        <v>2</v>
      </c>
      <c r="G495">
        <v>375</v>
      </c>
      <c r="H495" t="s">
        <v>74</v>
      </c>
    </row>
    <row r="496" spans="1:8" x14ac:dyDescent="0.2">
      <c r="A496" t="s">
        <v>304</v>
      </c>
      <c r="B496" t="s">
        <v>334</v>
      </c>
      <c r="C496" t="str">
        <f t="shared" si="13"/>
        <v>Adjoint patrimoine principal 1° classe 3</v>
      </c>
      <c r="D496" t="s">
        <v>345</v>
      </c>
      <c r="E496">
        <v>3</v>
      </c>
      <c r="G496">
        <v>376</v>
      </c>
      <c r="H496" t="s">
        <v>74</v>
      </c>
    </row>
    <row r="497" spans="1:8" x14ac:dyDescent="0.2">
      <c r="A497" t="s">
        <v>304</v>
      </c>
      <c r="B497" t="s">
        <v>334</v>
      </c>
      <c r="C497" t="str">
        <f t="shared" ref="C497:C560" si="14">D497&amp;E497</f>
        <v>Adjoint patrimoine principal 1° classe 4</v>
      </c>
      <c r="D497" t="s">
        <v>345</v>
      </c>
      <c r="E497">
        <v>4</v>
      </c>
      <c r="G497">
        <v>385</v>
      </c>
      <c r="H497" t="s">
        <v>74</v>
      </c>
    </row>
    <row r="498" spans="1:8" x14ac:dyDescent="0.2">
      <c r="A498" t="s">
        <v>304</v>
      </c>
      <c r="B498" t="s">
        <v>334</v>
      </c>
      <c r="C498" t="str">
        <f t="shared" si="14"/>
        <v>Adjoint patrimoine principal 1° classe 5</v>
      </c>
      <c r="D498" t="s">
        <v>345</v>
      </c>
      <c r="E498">
        <v>5</v>
      </c>
      <c r="G498">
        <v>398</v>
      </c>
      <c r="H498" t="s">
        <v>74</v>
      </c>
    </row>
    <row r="499" spans="1:8" x14ac:dyDescent="0.2">
      <c r="A499" t="s">
        <v>304</v>
      </c>
      <c r="B499" t="s">
        <v>334</v>
      </c>
      <c r="C499" t="str">
        <f t="shared" si="14"/>
        <v>Adjoint patrimoine principal 1° classe 6</v>
      </c>
      <c r="D499" t="s">
        <v>345</v>
      </c>
      <c r="E499">
        <v>6</v>
      </c>
      <c r="G499">
        <v>408</v>
      </c>
      <c r="H499" t="s">
        <v>74</v>
      </c>
    </row>
    <row r="500" spans="1:8" x14ac:dyDescent="0.2">
      <c r="A500" t="s">
        <v>304</v>
      </c>
      <c r="B500" t="s">
        <v>334</v>
      </c>
      <c r="C500" t="str">
        <f t="shared" si="14"/>
        <v>Adjoint patrimoine principal 1° classe 7</v>
      </c>
      <c r="D500" t="s">
        <v>345</v>
      </c>
      <c r="E500">
        <v>7</v>
      </c>
      <c r="G500">
        <v>420</v>
      </c>
      <c r="H500" t="s">
        <v>74</v>
      </c>
    </row>
    <row r="501" spans="1:8" x14ac:dyDescent="0.2">
      <c r="A501" t="s">
        <v>304</v>
      </c>
      <c r="B501" t="s">
        <v>334</v>
      </c>
      <c r="C501" t="str">
        <f t="shared" si="14"/>
        <v>Adjoint patrimoine principal 1° classe 8</v>
      </c>
      <c r="D501" t="s">
        <v>345</v>
      </c>
      <c r="E501">
        <v>8</v>
      </c>
      <c r="G501">
        <v>435</v>
      </c>
      <c r="H501" t="s">
        <v>74</v>
      </c>
    </row>
    <row r="502" spans="1:8" x14ac:dyDescent="0.2">
      <c r="A502" t="s">
        <v>304</v>
      </c>
      <c r="B502" t="s">
        <v>334</v>
      </c>
      <c r="C502" t="str">
        <f t="shared" si="14"/>
        <v>Adjoint patrimoine principal 1° classe 9</v>
      </c>
      <c r="D502" t="s">
        <v>345</v>
      </c>
      <c r="E502">
        <v>9</v>
      </c>
      <c r="G502">
        <v>455</v>
      </c>
      <c r="H502" t="s">
        <v>74</v>
      </c>
    </row>
    <row r="503" spans="1:8" x14ac:dyDescent="0.2">
      <c r="A503" t="s">
        <v>304</v>
      </c>
      <c r="B503" t="s">
        <v>334</v>
      </c>
      <c r="C503" t="str">
        <f t="shared" si="14"/>
        <v>Adjoint patrimoine principal 1° classe 10</v>
      </c>
      <c r="D503" t="s">
        <v>345</v>
      </c>
      <c r="E503">
        <v>10</v>
      </c>
      <c r="G503">
        <v>478</v>
      </c>
      <c r="H503" t="s">
        <v>74</v>
      </c>
    </row>
    <row r="504" spans="1:8" x14ac:dyDescent="0.2">
      <c r="A504" s="1" t="s">
        <v>409</v>
      </c>
      <c r="B504" t="s">
        <v>365</v>
      </c>
      <c r="C504" t="str">
        <f t="shared" si="14"/>
        <v>Conseiller socio-éducatif1</v>
      </c>
      <c r="D504" t="s">
        <v>379</v>
      </c>
      <c r="E504">
        <v>1</v>
      </c>
      <c r="G504">
        <v>443</v>
      </c>
      <c r="H504" s="1" t="s">
        <v>15</v>
      </c>
    </row>
    <row r="505" spans="1:8" x14ac:dyDescent="0.2">
      <c r="A505" s="1" t="s">
        <v>409</v>
      </c>
      <c r="B505" t="s">
        <v>365</v>
      </c>
      <c r="C505" t="str">
        <f t="shared" si="14"/>
        <v>Conseiller socio-éducatif2</v>
      </c>
      <c r="D505" t="s">
        <v>379</v>
      </c>
      <c r="E505">
        <v>2</v>
      </c>
      <c r="G505">
        <v>460</v>
      </c>
      <c r="H505" s="1" t="s">
        <v>15</v>
      </c>
    </row>
    <row r="506" spans="1:8" x14ac:dyDescent="0.2">
      <c r="A506" s="1" t="s">
        <v>409</v>
      </c>
      <c r="B506" t="s">
        <v>365</v>
      </c>
      <c r="C506" t="str">
        <f t="shared" si="14"/>
        <v>Conseiller socio-éducatif3</v>
      </c>
      <c r="D506" t="s">
        <v>379</v>
      </c>
      <c r="E506">
        <v>3</v>
      </c>
      <c r="G506">
        <v>476</v>
      </c>
      <c r="H506" s="1" t="s">
        <v>15</v>
      </c>
    </row>
    <row r="507" spans="1:8" x14ac:dyDescent="0.2">
      <c r="A507" s="1" t="s">
        <v>409</v>
      </c>
      <c r="B507" t="s">
        <v>365</v>
      </c>
      <c r="C507" t="str">
        <f t="shared" si="14"/>
        <v>Conseiller socio-éducatif4</v>
      </c>
      <c r="D507" t="s">
        <v>379</v>
      </c>
      <c r="E507">
        <v>4</v>
      </c>
      <c r="G507">
        <v>493</v>
      </c>
      <c r="H507" s="1" t="s">
        <v>15</v>
      </c>
    </row>
    <row r="508" spans="1:8" x14ac:dyDescent="0.2">
      <c r="A508" s="1" t="s">
        <v>409</v>
      </c>
      <c r="B508" t="s">
        <v>365</v>
      </c>
      <c r="C508" t="str">
        <f t="shared" si="14"/>
        <v>Conseiller socio-éducatif5</v>
      </c>
      <c r="D508" t="s">
        <v>379</v>
      </c>
      <c r="E508">
        <v>5</v>
      </c>
      <c r="G508">
        <v>510</v>
      </c>
      <c r="H508" s="1" t="s">
        <v>15</v>
      </c>
    </row>
    <row r="509" spans="1:8" x14ac:dyDescent="0.2">
      <c r="A509" s="1" t="s">
        <v>409</v>
      </c>
      <c r="B509" t="s">
        <v>365</v>
      </c>
      <c r="C509" t="str">
        <f t="shared" si="14"/>
        <v>Conseiller socio-éducatif6</v>
      </c>
      <c r="D509" t="s">
        <v>379</v>
      </c>
      <c r="E509">
        <v>6</v>
      </c>
      <c r="G509">
        <v>534</v>
      </c>
      <c r="H509" s="1" t="s">
        <v>15</v>
      </c>
    </row>
    <row r="510" spans="1:8" x14ac:dyDescent="0.2">
      <c r="A510" s="1" t="s">
        <v>409</v>
      </c>
      <c r="B510" t="s">
        <v>365</v>
      </c>
      <c r="C510" t="str">
        <f t="shared" si="14"/>
        <v>Conseiller socio-éducatif7</v>
      </c>
      <c r="D510" t="s">
        <v>379</v>
      </c>
      <c r="E510">
        <v>7</v>
      </c>
      <c r="G510">
        <v>553</v>
      </c>
      <c r="H510" s="1" t="s">
        <v>15</v>
      </c>
    </row>
    <row r="511" spans="1:8" x14ac:dyDescent="0.2">
      <c r="A511" s="1" t="s">
        <v>409</v>
      </c>
      <c r="B511" t="s">
        <v>365</v>
      </c>
      <c r="C511" t="str">
        <f t="shared" si="14"/>
        <v>Conseiller socio-éducatif8</v>
      </c>
      <c r="D511" t="s">
        <v>379</v>
      </c>
      <c r="E511">
        <v>8</v>
      </c>
      <c r="G511">
        <v>571</v>
      </c>
      <c r="H511" s="1" t="s">
        <v>15</v>
      </c>
    </row>
    <row r="512" spans="1:8" x14ac:dyDescent="0.2">
      <c r="A512" s="1" t="s">
        <v>409</v>
      </c>
      <c r="B512" t="s">
        <v>365</v>
      </c>
      <c r="C512" t="str">
        <f t="shared" si="14"/>
        <v>Conseiller socio-éducatif9</v>
      </c>
      <c r="D512" t="s">
        <v>379</v>
      </c>
      <c r="E512">
        <v>9</v>
      </c>
      <c r="G512">
        <v>595</v>
      </c>
      <c r="H512" s="1" t="s">
        <v>15</v>
      </c>
    </row>
    <row r="513" spans="1:8" x14ac:dyDescent="0.2">
      <c r="A513" s="1" t="s">
        <v>409</v>
      </c>
      <c r="B513" t="s">
        <v>365</v>
      </c>
      <c r="C513" t="str">
        <f t="shared" si="14"/>
        <v>Conseiller socio-éducatif10</v>
      </c>
      <c r="D513" t="s">
        <v>379</v>
      </c>
      <c r="E513">
        <v>10</v>
      </c>
      <c r="G513">
        <v>616</v>
      </c>
      <c r="H513" s="1" t="s">
        <v>15</v>
      </c>
    </row>
    <row r="514" spans="1:8" x14ac:dyDescent="0.2">
      <c r="A514" s="1" t="s">
        <v>409</v>
      </c>
      <c r="B514" t="s">
        <v>365</v>
      </c>
      <c r="C514" t="str">
        <f t="shared" si="14"/>
        <v>Conseiller socio-éducatif11</v>
      </c>
      <c r="D514" t="s">
        <v>379</v>
      </c>
      <c r="E514">
        <v>11</v>
      </c>
      <c r="G514">
        <v>645</v>
      </c>
      <c r="H514" s="1" t="s">
        <v>15</v>
      </c>
    </row>
    <row r="515" spans="1:8" x14ac:dyDescent="0.2">
      <c r="A515" s="1" t="s">
        <v>409</v>
      </c>
      <c r="B515" t="s">
        <v>365</v>
      </c>
      <c r="C515" t="str">
        <f t="shared" si="14"/>
        <v>Conseiller socio-éducatif12</v>
      </c>
      <c r="D515" t="s">
        <v>379</v>
      </c>
      <c r="E515">
        <v>12</v>
      </c>
      <c r="G515">
        <v>663</v>
      </c>
      <c r="H515" s="1" t="s">
        <v>15</v>
      </c>
    </row>
    <row r="516" spans="1:8" x14ac:dyDescent="0.2">
      <c r="A516" s="1" t="s">
        <v>409</v>
      </c>
      <c r="B516" t="s">
        <v>365</v>
      </c>
      <c r="C516" t="str">
        <f t="shared" si="14"/>
        <v>Conseiller supérieur socio-éducatif1</v>
      </c>
      <c r="D516" t="s">
        <v>380</v>
      </c>
      <c r="E516">
        <v>1</v>
      </c>
      <c r="G516">
        <v>541</v>
      </c>
      <c r="H516" s="1" t="s">
        <v>15</v>
      </c>
    </row>
    <row r="517" spans="1:8" x14ac:dyDescent="0.2">
      <c r="A517" s="1" t="s">
        <v>409</v>
      </c>
      <c r="B517" t="s">
        <v>365</v>
      </c>
      <c r="C517" t="str">
        <f t="shared" si="14"/>
        <v>Conseiller supérieur socio-éducatif2</v>
      </c>
      <c r="D517" t="s">
        <v>380</v>
      </c>
      <c r="E517">
        <v>2</v>
      </c>
      <c r="G517">
        <v>566</v>
      </c>
      <c r="H517" s="1" t="s">
        <v>15</v>
      </c>
    </row>
    <row r="518" spans="1:8" x14ac:dyDescent="0.2">
      <c r="A518" s="1" t="s">
        <v>409</v>
      </c>
      <c r="B518" t="s">
        <v>365</v>
      </c>
      <c r="C518" t="str">
        <f t="shared" si="14"/>
        <v>Conseiller supérieur socio-éducatif3</v>
      </c>
      <c r="D518" t="s">
        <v>380</v>
      </c>
      <c r="E518">
        <v>3</v>
      </c>
      <c r="G518">
        <v>584</v>
      </c>
      <c r="H518" s="1" t="s">
        <v>15</v>
      </c>
    </row>
    <row r="519" spans="1:8" x14ac:dyDescent="0.2">
      <c r="A519" s="1" t="s">
        <v>409</v>
      </c>
      <c r="B519" t="s">
        <v>365</v>
      </c>
      <c r="C519" t="str">
        <f t="shared" si="14"/>
        <v>Conseiller supérieur socio-éducatif4</v>
      </c>
      <c r="D519" t="s">
        <v>380</v>
      </c>
      <c r="E519">
        <v>4</v>
      </c>
      <c r="G519">
        <v>608</v>
      </c>
      <c r="H519" s="1" t="s">
        <v>15</v>
      </c>
    </row>
    <row r="520" spans="1:8" x14ac:dyDescent="0.2">
      <c r="A520" s="1" t="s">
        <v>409</v>
      </c>
      <c r="B520" t="s">
        <v>365</v>
      </c>
      <c r="C520" t="str">
        <f t="shared" si="14"/>
        <v>Conseiller supérieur socio-éducatif5</v>
      </c>
      <c r="D520" t="s">
        <v>380</v>
      </c>
      <c r="E520">
        <v>5</v>
      </c>
      <c r="G520">
        <v>625</v>
      </c>
      <c r="H520" s="1" t="s">
        <v>15</v>
      </c>
    </row>
    <row r="521" spans="1:8" x14ac:dyDescent="0.2">
      <c r="A521" s="1" t="s">
        <v>409</v>
      </c>
      <c r="B521" t="s">
        <v>365</v>
      </c>
      <c r="C521" t="str">
        <f t="shared" si="14"/>
        <v>Conseiller supérieur socio-éducatif6</v>
      </c>
      <c r="D521" t="s">
        <v>380</v>
      </c>
      <c r="E521">
        <v>6</v>
      </c>
      <c r="G521">
        <v>650</v>
      </c>
      <c r="H521" s="1" t="s">
        <v>15</v>
      </c>
    </row>
    <row r="522" spans="1:8" x14ac:dyDescent="0.2">
      <c r="A522" s="1" t="s">
        <v>409</v>
      </c>
      <c r="B522" t="s">
        <v>365</v>
      </c>
      <c r="C522" t="str">
        <f t="shared" si="14"/>
        <v>Conseiller supérieur socio-éducatif7</v>
      </c>
      <c r="D522" t="s">
        <v>380</v>
      </c>
      <c r="E522">
        <v>7</v>
      </c>
      <c r="G522">
        <v>674</v>
      </c>
      <c r="H522" s="1" t="s">
        <v>15</v>
      </c>
    </row>
    <row r="523" spans="1:8" x14ac:dyDescent="0.2">
      <c r="A523" s="1" t="s">
        <v>409</v>
      </c>
      <c r="B523" t="s">
        <v>365</v>
      </c>
      <c r="C523" t="str">
        <f t="shared" si="14"/>
        <v>Conseiller supérieur socio-éducatif8</v>
      </c>
      <c r="D523" t="s">
        <v>380</v>
      </c>
      <c r="E523">
        <v>8</v>
      </c>
      <c r="G523">
        <v>685</v>
      </c>
      <c r="H523" s="1" t="s">
        <v>15</v>
      </c>
    </row>
    <row r="524" spans="1:8" x14ac:dyDescent="0.2">
      <c r="A524" s="1" t="s">
        <v>409</v>
      </c>
      <c r="B524" t="s">
        <v>365</v>
      </c>
      <c r="C524" t="str">
        <f t="shared" si="14"/>
        <v>Conseiller hors classe socio-éducatif1</v>
      </c>
      <c r="D524" t="s">
        <v>381</v>
      </c>
      <c r="E524">
        <v>1</v>
      </c>
      <c r="G524">
        <v>608</v>
      </c>
      <c r="H524" s="1" t="s">
        <v>15</v>
      </c>
    </row>
    <row r="525" spans="1:8" x14ac:dyDescent="0.2">
      <c r="A525" s="1" t="s">
        <v>409</v>
      </c>
      <c r="B525" t="s">
        <v>365</v>
      </c>
      <c r="C525" t="str">
        <f t="shared" si="14"/>
        <v>Conseiller hors classe socio-éducatif2</v>
      </c>
      <c r="D525" t="s">
        <v>381</v>
      </c>
      <c r="E525">
        <v>2</v>
      </c>
      <c r="G525">
        <v>625</v>
      </c>
      <c r="H525" s="1" t="s">
        <v>15</v>
      </c>
    </row>
    <row r="526" spans="1:8" x14ac:dyDescent="0.2">
      <c r="A526" s="1" t="s">
        <v>409</v>
      </c>
      <c r="B526" t="s">
        <v>365</v>
      </c>
      <c r="C526" t="str">
        <f t="shared" si="14"/>
        <v>Conseiller hors classe socio-éducatif3</v>
      </c>
      <c r="D526" t="s">
        <v>381</v>
      </c>
      <c r="E526">
        <v>3</v>
      </c>
      <c r="G526">
        <v>655</v>
      </c>
      <c r="H526" s="1" t="s">
        <v>15</v>
      </c>
    </row>
    <row r="527" spans="1:8" x14ac:dyDescent="0.2">
      <c r="A527" s="1" t="s">
        <v>409</v>
      </c>
      <c r="B527" t="s">
        <v>365</v>
      </c>
      <c r="C527" t="str">
        <f t="shared" si="14"/>
        <v>Conseiller hors classe socio-éducatif4</v>
      </c>
      <c r="D527" t="s">
        <v>381</v>
      </c>
      <c r="E527">
        <v>4</v>
      </c>
      <c r="G527">
        <v>689</v>
      </c>
      <c r="H527" s="1" t="s">
        <v>15</v>
      </c>
    </row>
    <row r="528" spans="1:8" x14ac:dyDescent="0.2">
      <c r="A528" s="1" t="s">
        <v>409</v>
      </c>
      <c r="B528" t="s">
        <v>365</v>
      </c>
      <c r="C528" t="str">
        <f t="shared" si="14"/>
        <v>Conseiller hors classe socio-éducatif5</v>
      </c>
      <c r="D528" t="s">
        <v>381</v>
      </c>
      <c r="E528">
        <v>5</v>
      </c>
      <c r="G528">
        <v>725</v>
      </c>
      <c r="H528" s="1" t="s">
        <v>15</v>
      </c>
    </row>
    <row r="529" spans="1:8" x14ac:dyDescent="0.2">
      <c r="A529" s="1" t="s">
        <v>409</v>
      </c>
      <c r="B529" t="s">
        <v>365</v>
      </c>
      <c r="C529" t="str">
        <f t="shared" si="14"/>
        <v>Conseiller hors classe socio-éducatif6</v>
      </c>
      <c r="D529" t="s">
        <v>381</v>
      </c>
      <c r="E529">
        <v>6</v>
      </c>
      <c r="G529">
        <v>769</v>
      </c>
      <c r="H529" s="1" t="s">
        <v>15</v>
      </c>
    </row>
    <row r="530" spans="1:8" x14ac:dyDescent="0.2">
      <c r="A530" s="1" t="s">
        <v>409</v>
      </c>
      <c r="B530" t="s">
        <v>366</v>
      </c>
      <c r="C530" t="str">
        <f t="shared" si="14"/>
        <v>Pédi Podo Ergo Orthopt classe normale1</v>
      </c>
      <c r="D530" t="s">
        <v>382</v>
      </c>
      <c r="E530">
        <v>1</v>
      </c>
      <c r="G530">
        <v>395</v>
      </c>
      <c r="H530" s="1" t="s">
        <v>15</v>
      </c>
    </row>
    <row r="531" spans="1:8" x14ac:dyDescent="0.2">
      <c r="A531" s="1" t="s">
        <v>409</v>
      </c>
      <c r="B531" t="s">
        <v>366</v>
      </c>
      <c r="C531" t="str">
        <f t="shared" si="14"/>
        <v>Pédi Podo Ergo Orthopt classe normale2</v>
      </c>
      <c r="D531" t="s">
        <v>382</v>
      </c>
      <c r="E531">
        <v>2</v>
      </c>
      <c r="G531">
        <v>424</v>
      </c>
      <c r="H531" s="1" t="s">
        <v>15</v>
      </c>
    </row>
    <row r="532" spans="1:8" x14ac:dyDescent="0.2">
      <c r="A532" s="1" t="s">
        <v>409</v>
      </c>
      <c r="B532" t="s">
        <v>366</v>
      </c>
      <c r="C532" t="str">
        <f t="shared" si="14"/>
        <v>Pédi Podo Ergo Orthopt classe normale3</v>
      </c>
      <c r="D532" t="s">
        <v>382</v>
      </c>
      <c r="E532">
        <v>3</v>
      </c>
      <c r="G532">
        <v>447</v>
      </c>
      <c r="H532" s="1" t="s">
        <v>15</v>
      </c>
    </row>
    <row r="533" spans="1:8" x14ac:dyDescent="0.2">
      <c r="A533" s="1" t="s">
        <v>409</v>
      </c>
      <c r="B533" t="s">
        <v>366</v>
      </c>
      <c r="C533" t="str">
        <f t="shared" si="14"/>
        <v>Pédi Podo Ergo Orthopt classe normale4</v>
      </c>
      <c r="D533" t="s">
        <v>382</v>
      </c>
      <c r="E533">
        <v>4</v>
      </c>
      <c r="G533">
        <v>468</v>
      </c>
      <c r="H533" s="1" t="s">
        <v>15</v>
      </c>
    </row>
    <row r="534" spans="1:8" x14ac:dyDescent="0.2">
      <c r="A534" s="1" t="s">
        <v>409</v>
      </c>
      <c r="B534" t="s">
        <v>366</v>
      </c>
      <c r="C534" t="str">
        <f t="shared" si="14"/>
        <v>Pédi Podo Ergo Orthopt classe normale5</v>
      </c>
      <c r="D534" t="s">
        <v>382</v>
      </c>
      <c r="E534">
        <v>5</v>
      </c>
      <c r="G534">
        <v>491</v>
      </c>
      <c r="H534" s="1" t="s">
        <v>15</v>
      </c>
    </row>
    <row r="535" spans="1:8" x14ac:dyDescent="0.2">
      <c r="A535" s="1" t="s">
        <v>409</v>
      </c>
      <c r="B535" t="s">
        <v>366</v>
      </c>
      <c r="C535" t="str">
        <f t="shared" si="14"/>
        <v>Pédi Podo Ergo Orthopt classe normale6</v>
      </c>
      <c r="D535" t="s">
        <v>382</v>
      </c>
      <c r="E535">
        <v>6</v>
      </c>
      <c r="G535">
        <v>518</v>
      </c>
      <c r="H535" s="1" t="s">
        <v>15</v>
      </c>
    </row>
    <row r="536" spans="1:8" x14ac:dyDescent="0.2">
      <c r="A536" s="1" t="s">
        <v>409</v>
      </c>
      <c r="B536" t="s">
        <v>366</v>
      </c>
      <c r="C536" t="str">
        <f t="shared" si="14"/>
        <v>Pédi Podo Ergo Orthopt classe normale7</v>
      </c>
      <c r="D536" t="s">
        <v>382</v>
      </c>
      <c r="E536">
        <v>7</v>
      </c>
      <c r="G536">
        <v>550</v>
      </c>
      <c r="H536" s="1" t="s">
        <v>15</v>
      </c>
    </row>
    <row r="537" spans="1:8" x14ac:dyDescent="0.2">
      <c r="A537" s="1" t="s">
        <v>409</v>
      </c>
      <c r="B537" t="s">
        <v>366</v>
      </c>
      <c r="C537" t="str">
        <f t="shared" si="14"/>
        <v>Pédi Podo Ergo Orthopt classe normale8</v>
      </c>
      <c r="D537" t="s">
        <v>382</v>
      </c>
      <c r="E537">
        <v>8</v>
      </c>
      <c r="G537">
        <v>580</v>
      </c>
      <c r="H537" s="1" t="s">
        <v>15</v>
      </c>
    </row>
    <row r="538" spans="1:8" x14ac:dyDescent="0.2">
      <c r="A538" s="1" t="s">
        <v>409</v>
      </c>
      <c r="B538" t="s">
        <v>366</v>
      </c>
      <c r="C538" t="str">
        <f t="shared" si="14"/>
        <v>Pédi Podo Ergo Orthopt classe normale9</v>
      </c>
      <c r="D538" t="s">
        <v>382</v>
      </c>
      <c r="E538">
        <v>9</v>
      </c>
      <c r="G538">
        <v>610</v>
      </c>
      <c r="H538" s="1" t="s">
        <v>15</v>
      </c>
    </row>
    <row r="539" spans="1:8" x14ac:dyDescent="0.2">
      <c r="A539" s="1" t="s">
        <v>409</v>
      </c>
      <c r="B539" t="s">
        <v>366</v>
      </c>
      <c r="C539" t="str">
        <f t="shared" si="14"/>
        <v>Pédi Podo Ergo Orthopt classe normale10</v>
      </c>
      <c r="D539" t="s">
        <v>382</v>
      </c>
      <c r="E539">
        <v>10</v>
      </c>
      <c r="G539">
        <v>645</v>
      </c>
      <c r="H539" s="1" t="s">
        <v>15</v>
      </c>
    </row>
    <row r="540" spans="1:8" x14ac:dyDescent="0.2">
      <c r="A540" s="1" t="s">
        <v>409</v>
      </c>
      <c r="B540" t="s">
        <v>366</v>
      </c>
      <c r="C540" t="str">
        <f t="shared" si="14"/>
        <v>Pédi Podo Ergo Orthopt classe normale11</v>
      </c>
      <c r="D540" t="s">
        <v>382</v>
      </c>
      <c r="E540">
        <v>11</v>
      </c>
      <c r="G540">
        <v>678</v>
      </c>
      <c r="H540" s="1" t="s">
        <v>15</v>
      </c>
    </row>
    <row r="541" spans="1:8" x14ac:dyDescent="0.2">
      <c r="A541" s="1" t="s">
        <v>409</v>
      </c>
      <c r="B541" t="s">
        <v>366</v>
      </c>
      <c r="C541" t="str">
        <f t="shared" si="14"/>
        <v>Pédi Podo Ergo Orthopt hors classe1</v>
      </c>
      <c r="D541" t="s">
        <v>383</v>
      </c>
      <c r="E541">
        <v>1</v>
      </c>
      <c r="G541">
        <v>450</v>
      </c>
      <c r="H541" s="1" t="s">
        <v>15</v>
      </c>
    </row>
    <row r="542" spans="1:8" x14ac:dyDescent="0.2">
      <c r="A542" s="1" t="s">
        <v>409</v>
      </c>
      <c r="B542" t="s">
        <v>366</v>
      </c>
      <c r="C542" t="str">
        <f t="shared" si="14"/>
        <v>Pédi Podo Ergo Orthopt hors classe2</v>
      </c>
      <c r="D542" t="s">
        <v>383</v>
      </c>
      <c r="E542">
        <v>2</v>
      </c>
      <c r="G542">
        <v>478</v>
      </c>
      <c r="H542" s="1" t="s">
        <v>15</v>
      </c>
    </row>
    <row r="543" spans="1:8" x14ac:dyDescent="0.2">
      <c r="A543" s="1" t="s">
        <v>409</v>
      </c>
      <c r="B543" t="s">
        <v>366</v>
      </c>
      <c r="C543" t="str">
        <f t="shared" si="14"/>
        <v>Pédi Podo Ergo Orthopt hors classe3</v>
      </c>
      <c r="D543" t="s">
        <v>383</v>
      </c>
      <c r="E543">
        <v>3</v>
      </c>
      <c r="G543">
        <v>506</v>
      </c>
      <c r="H543" s="1" t="s">
        <v>15</v>
      </c>
    </row>
    <row r="544" spans="1:8" x14ac:dyDescent="0.2">
      <c r="A544" s="1" t="s">
        <v>409</v>
      </c>
      <c r="B544" t="s">
        <v>366</v>
      </c>
      <c r="C544" t="str">
        <f t="shared" si="14"/>
        <v>Pédi Podo Ergo Orthopt hors classe4</v>
      </c>
      <c r="D544" t="s">
        <v>383</v>
      </c>
      <c r="E544">
        <v>4</v>
      </c>
      <c r="G544">
        <v>534</v>
      </c>
      <c r="H544" s="1" t="s">
        <v>15</v>
      </c>
    </row>
    <row r="545" spans="1:8" x14ac:dyDescent="0.2">
      <c r="A545" s="1" t="s">
        <v>409</v>
      </c>
      <c r="B545" t="s">
        <v>366</v>
      </c>
      <c r="C545" t="str">
        <f t="shared" si="14"/>
        <v>Pédi Podo Ergo Orthopt hors classe5</v>
      </c>
      <c r="D545" t="s">
        <v>383</v>
      </c>
      <c r="E545">
        <v>5</v>
      </c>
      <c r="G545">
        <v>563</v>
      </c>
      <c r="H545" s="1" t="s">
        <v>15</v>
      </c>
    </row>
    <row r="546" spans="1:8" x14ac:dyDescent="0.2">
      <c r="A546" s="1" t="s">
        <v>409</v>
      </c>
      <c r="B546" t="s">
        <v>366</v>
      </c>
      <c r="C546" t="str">
        <f t="shared" si="14"/>
        <v>Pédi Podo Ergo Orthopt hors classe6</v>
      </c>
      <c r="D546" t="s">
        <v>383</v>
      </c>
      <c r="E546">
        <v>6</v>
      </c>
      <c r="G546">
        <v>593</v>
      </c>
      <c r="H546" s="1" t="s">
        <v>15</v>
      </c>
    </row>
    <row r="547" spans="1:8" x14ac:dyDescent="0.2">
      <c r="A547" s="1" t="s">
        <v>409</v>
      </c>
      <c r="B547" t="s">
        <v>366</v>
      </c>
      <c r="C547" t="str">
        <f t="shared" si="14"/>
        <v>Pédi Podo Ergo Orthopt hors classe7</v>
      </c>
      <c r="D547" t="s">
        <v>383</v>
      </c>
      <c r="E547">
        <v>7</v>
      </c>
      <c r="G547">
        <v>624</v>
      </c>
      <c r="H547" s="1" t="s">
        <v>15</v>
      </c>
    </row>
    <row r="548" spans="1:8" x14ac:dyDescent="0.2">
      <c r="A548" s="1" t="s">
        <v>409</v>
      </c>
      <c r="B548" t="s">
        <v>366</v>
      </c>
      <c r="C548" t="str">
        <f t="shared" si="14"/>
        <v>Pédi Podo Ergo Orthopt hors classe8</v>
      </c>
      <c r="D548" t="s">
        <v>383</v>
      </c>
      <c r="E548">
        <v>8</v>
      </c>
      <c r="G548">
        <v>656</v>
      </c>
      <c r="H548" s="1" t="s">
        <v>15</v>
      </c>
    </row>
    <row r="549" spans="1:8" x14ac:dyDescent="0.2">
      <c r="A549" s="1" t="s">
        <v>409</v>
      </c>
      <c r="B549" t="s">
        <v>366</v>
      </c>
      <c r="C549" t="str">
        <f t="shared" si="14"/>
        <v>Pédi Podo Ergo Orthopt hors classe9</v>
      </c>
      <c r="D549" t="s">
        <v>383</v>
      </c>
      <c r="E549">
        <v>9</v>
      </c>
      <c r="G549">
        <v>690</v>
      </c>
      <c r="H549" s="1" t="s">
        <v>15</v>
      </c>
    </row>
    <row r="550" spans="1:8" x14ac:dyDescent="0.2">
      <c r="A550" s="1" t="s">
        <v>409</v>
      </c>
      <c r="B550" t="s">
        <v>366</v>
      </c>
      <c r="C550" t="str">
        <f t="shared" si="14"/>
        <v>Pédi Podo Ergo Orthopt hors classe10</v>
      </c>
      <c r="D550" t="s">
        <v>383</v>
      </c>
      <c r="E550">
        <v>10</v>
      </c>
      <c r="G550">
        <v>727</v>
      </c>
      <c r="H550" s="1" t="s">
        <v>15</v>
      </c>
    </row>
    <row r="551" spans="1:8" x14ac:dyDescent="0.2">
      <c r="A551" s="1" t="s">
        <v>409</v>
      </c>
      <c r="B551" t="s">
        <v>368</v>
      </c>
      <c r="C551" t="str">
        <f t="shared" si="14"/>
        <v>Masseurs Kiné Psychomot Orthophonistes territoriaux classe normale1</v>
      </c>
      <c r="D551" t="s">
        <v>385</v>
      </c>
      <c r="E551">
        <v>1</v>
      </c>
      <c r="G551">
        <v>427</v>
      </c>
      <c r="H551" s="1" t="s">
        <v>15</v>
      </c>
    </row>
    <row r="552" spans="1:8" x14ac:dyDescent="0.2">
      <c r="A552" s="1" t="s">
        <v>409</v>
      </c>
      <c r="B552" t="s">
        <v>368</v>
      </c>
      <c r="C552" t="str">
        <f t="shared" si="14"/>
        <v>Masseurs Kiné Psychomot Orthophonistes territoriaux classe normale2</v>
      </c>
      <c r="D552" t="s">
        <v>385</v>
      </c>
      <c r="E552">
        <v>2</v>
      </c>
      <c r="G552">
        <v>450</v>
      </c>
      <c r="H552" s="1" t="s">
        <v>15</v>
      </c>
    </row>
    <row r="553" spans="1:8" x14ac:dyDescent="0.2">
      <c r="A553" s="1" t="s">
        <v>409</v>
      </c>
      <c r="B553" t="s">
        <v>368</v>
      </c>
      <c r="C553" t="str">
        <f t="shared" si="14"/>
        <v>Masseurs Kiné Psychomot Orthophonistes territoriaux classe normale3</v>
      </c>
      <c r="D553" t="s">
        <v>385</v>
      </c>
      <c r="E553">
        <v>3</v>
      </c>
      <c r="G553">
        <v>478</v>
      </c>
      <c r="H553" s="1" t="s">
        <v>15</v>
      </c>
    </row>
    <row r="554" spans="1:8" x14ac:dyDescent="0.2">
      <c r="A554" s="1" t="s">
        <v>409</v>
      </c>
      <c r="B554" t="s">
        <v>368</v>
      </c>
      <c r="C554" t="str">
        <f t="shared" si="14"/>
        <v>Masseurs Kiné Psychomot Orthophonistes territoriaux classe normale4</v>
      </c>
      <c r="D554" t="s">
        <v>385</v>
      </c>
      <c r="E554">
        <v>4</v>
      </c>
      <c r="G554">
        <v>506</v>
      </c>
      <c r="H554" s="1" t="s">
        <v>15</v>
      </c>
    </row>
    <row r="555" spans="1:8" x14ac:dyDescent="0.2">
      <c r="A555" s="1" t="s">
        <v>409</v>
      </c>
      <c r="B555" t="s">
        <v>368</v>
      </c>
      <c r="C555" t="str">
        <f t="shared" si="14"/>
        <v>Masseurs Kiné Psychomot Orthophonistes territoriaux classe normale5</v>
      </c>
      <c r="D555" t="s">
        <v>385</v>
      </c>
      <c r="E555">
        <v>5</v>
      </c>
      <c r="G555">
        <v>534</v>
      </c>
      <c r="H555" s="1" t="s">
        <v>15</v>
      </c>
    </row>
    <row r="556" spans="1:8" x14ac:dyDescent="0.2">
      <c r="A556" s="1" t="s">
        <v>409</v>
      </c>
      <c r="B556" t="s">
        <v>368</v>
      </c>
      <c r="C556" t="str">
        <f t="shared" si="14"/>
        <v>Masseurs Kiné Psychomot Orthophonistes territoriaux classe normale6</v>
      </c>
      <c r="D556" t="s">
        <v>385</v>
      </c>
      <c r="E556">
        <v>6</v>
      </c>
      <c r="G556">
        <v>563</v>
      </c>
      <c r="H556" s="1" t="s">
        <v>15</v>
      </c>
    </row>
    <row r="557" spans="1:8" x14ac:dyDescent="0.2">
      <c r="A557" s="1" t="s">
        <v>409</v>
      </c>
      <c r="B557" t="s">
        <v>368</v>
      </c>
      <c r="C557" t="str">
        <f t="shared" si="14"/>
        <v>Masseurs Kiné Psychomot Orthophonistes territoriaux classe normale7</v>
      </c>
      <c r="D557" t="s">
        <v>385</v>
      </c>
      <c r="E557">
        <v>7</v>
      </c>
      <c r="G557">
        <v>593</v>
      </c>
      <c r="H557" s="1" t="s">
        <v>15</v>
      </c>
    </row>
    <row r="558" spans="1:8" x14ac:dyDescent="0.2">
      <c r="A558" s="1" t="s">
        <v>409</v>
      </c>
      <c r="B558" t="s">
        <v>368</v>
      </c>
      <c r="C558" t="str">
        <f t="shared" si="14"/>
        <v>Masseurs Kiné Psychomot Orthophonistes territoriaux classe normale8</v>
      </c>
      <c r="D558" t="s">
        <v>385</v>
      </c>
      <c r="E558">
        <v>8</v>
      </c>
      <c r="G558">
        <v>624</v>
      </c>
      <c r="H558" s="1" t="s">
        <v>15</v>
      </c>
    </row>
    <row r="559" spans="1:8" x14ac:dyDescent="0.2">
      <c r="A559" s="1" t="s">
        <v>409</v>
      </c>
      <c r="B559" t="s">
        <v>368</v>
      </c>
      <c r="C559" t="str">
        <f t="shared" si="14"/>
        <v>Masseurs Kiné Psychomot Orthophonistes territoriaux classe normale9</v>
      </c>
      <c r="D559" t="s">
        <v>385</v>
      </c>
      <c r="E559">
        <v>9</v>
      </c>
      <c r="G559">
        <v>656</v>
      </c>
      <c r="H559" s="1" t="s">
        <v>15</v>
      </c>
    </row>
    <row r="560" spans="1:8" x14ac:dyDescent="0.2">
      <c r="A560" s="1" t="s">
        <v>409</v>
      </c>
      <c r="B560" t="s">
        <v>368</v>
      </c>
      <c r="C560" t="str">
        <f t="shared" si="14"/>
        <v>Masseurs Kiné Psychomot Orthophonistes territoriaux classe normale10</v>
      </c>
      <c r="D560" t="s">
        <v>385</v>
      </c>
      <c r="E560">
        <v>10</v>
      </c>
      <c r="G560">
        <v>690</v>
      </c>
      <c r="H560" s="1" t="s">
        <v>15</v>
      </c>
    </row>
    <row r="561" spans="1:8" x14ac:dyDescent="0.2">
      <c r="A561" s="1" t="s">
        <v>409</v>
      </c>
      <c r="B561" t="s">
        <v>368</v>
      </c>
      <c r="C561" t="str">
        <f t="shared" ref="C561:C624" si="15">D561&amp;E561</f>
        <v>Masseurs Kiné Psychomot Orthophonistes territoriaux classe normale11</v>
      </c>
      <c r="D561" t="s">
        <v>385</v>
      </c>
      <c r="E561">
        <v>11</v>
      </c>
      <c r="G561">
        <v>727</v>
      </c>
      <c r="H561" s="1" t="s">
        <v>15</v>
      </c>
    </row>
    <row r="562" spans="1:8" x14ac:dyDescent="0.2">
      <c r="A562" s="1" t="s">
        <v>409</v>
      </c>
      <c r="B562" t="s">
        <v>368</v>
      </c>
      <c r="C562" t="str">
        <f t="shared" si="15"/>
        <v>Masseurs Kiné Psychomot Orthophonistes territoriaux hors classe1</v>
      </c>
      <c r="D562" t="s">
        <v>386</v>
      </c>
      <c r="E562">
        <v>1</v>
      </c>
      <c r="G562">
        <v>520</v>
      </c>
      <c r="H562" s="1" t="s">
        <v>15</v>
      </c>
    </row>
    <row r="563" spans="1:8" x14ac:dyDescent="0.2">
      <c r="A563" s="1" t="s">
        <v>409</v>
      </c>
      <c r="B563" t="s">
        <v>368</v>
      </c>
      <c r="C563" t="str">
        <f t="shared" si="15"/>
        <v>Masseurs Kiné Psychomot Orthophonistes territoriaux hors classe2</v>
      </c>
      <c r="D563" t="s">
        <v>386</v>
      </c>
      <c r="E563">
        <v>2</v>
      </c>
      <c r="G563">
        <v>558</v>
      </c>
      <c r="H563" s="1" t="s">
        <v>15</v>
      </c>
    </row>
    <row r="564" spans="1:8" x14ac:dyDescent="0.2">
      <c r="A564" s="1" t="s">
        <v>409</v>
      </c>
      <c r="B564" t="s">
        <v>368</v>
      </c>
      <c r="C564" t="str">
        <f t="shared" si="15"/>
        <v>Masseurs Kiné Psychomot Orthophonistes territoriaux hors classe3</v>
      </c>
      <c r="D564" t="s">
        <v>386</v>
      </c>
      <c r="E564">
        <v>3</v>
      </c>
      <c r="G564">
        <v>582</v>
      </c>
      <c r="H564" s="1" t="s">
        <v>15</v>
      </c>
    </row>
    <row r="565" spans="1:8" x14ac:dyDescent="0.2">
      <c r="A565" s="1" t="s">
        <v>409</v>
      </c>
      <c r="B565" t="s">
        <v>368</v>
      </c>
      <c r="C565" t="str">
        <f t="shared" si="15"/>
        <v>Masseurs Kiné Psychomot Orthophonistes territoriaux hors classe4</v>
      </c>
      <c r="D565" t="s">
        <v>386</v>
      </c>
      <c r="E565">
        <v>4</v>
      </c>
      <c r="G565">
        <v>615</v>
      </c>
      <c r="H565" s="1" t="s">
        <v>15</v>
      </c>
    </row>
    <row r="566" spans="1:8" x14ac:dyDescent="0.2">
      <c r="A566" s="1" t="s">
        <v>409</v>
      </c>
      <c r="B566" t="s">
        <v>368</v>
      </c>
      <c r="C566" t="str">
        <f t="shared" si="15"/>
        <v>Masseurs Kiné Psychomot Orthophonistes territoriaux hors classe5</v>
      </c>
      <c r="D566" t="s">
        <v>386</v>
      </c>
      <c r="E566">
        <v>5</v>
      </c>
      <c r="G566">
        <v>648</v>
      </c>
      <c r="H566" s="1" t="s">
        <v>15</v>
      </c>
    </row>
    <row r="567" spans="1:8" x14ac:dyDescent="0.2">
      <c r="A567" s="1" t="s">
        <v>409</v>
      </c>
      <c r="B567" t="s">
        <v>368</v>
      </c>
      <c r="C567" t="str">
        <f t="shared" si="15"/>
        <v>Masseurs Kiné Psychomot Orthophonistes territoriaux hors classe6</v>
      </c>
      <c r="D567" t="s">
        <v>386</v>
      </c>
      <c r="E567">
        <v>6</v>
      </c>
      <c r="G567">
        <v>681</v>
      </c>
      <c r="H567" s="1" t="s">
        <v>15</v>
      </c>
    </row>
    <row r="568" spans="1:8" x14ac:dyDescent="0.2">
      <c r="A568" s="1" t="s">
        <v>409</v>
      </c>
      <c r="B568" t="s">
        <v>368</v>
      </c>
      <c r="C568" t="str">
        <f t="shared" si="15"/>
        <v>Masseurs Kiné Psychomot Orthophonistes territoriaux hors classe7</v>
      </c>
      <c r="D568" t="s">
        <v>386</v>
      </c>
      <c r="E568">
        <v>7</v>
      </c>
      <c r="G568">
        <v>714</v>
      </c>
      <c r="H568" s="1" t="s">
        <v>15</v>
      </c>
    </row>
    <row r="569" spans="1:8" x14ac:dyDescent="0.2">
      <c r="A569" s="1" t="s">
        <v>409</v>
      </c>
      <c r="B569" t="s">
        <v>368</v>
      </c>
      <c r="C569" t="str">
        <f t="shared" si="15"/>
        <v>Masseurs Kiné Psychomot Orthophonistes territoriaux hors classe8</v>
      </c>
      <c r="D569" t="s">
        <v>386</v>
      </c>
      <c r="E569">
        <v>8</v>
      </c>
      <c r="G569">
        <v>743</v>
      </c>
      <c r="H569" s="1" t="s">
        <v>15</v>
      </c>
    </row>
    <row r="570" spans="1:8" x14ac:dyDescent="0.2">
      <c r="A570" s="1" t="s">
        <v>409</v>
      </c>
      <c r="B570" t="s">
        <v>368</v>
      </c>
      <c r="C570" t="str">
        <f t="shared" si="15"/>
        <v>Masseurs Kiné Psychomot Orthophonistes territoriaux hors classe9</v>
      </c>
      <c r="D570" t="s">
        <v>386</v>
      </c>
      <c r="E570">
        <v>9</v>
      </c>
      <c r="G570">
        <v>769</v>
      </c>
      <c r="H570" s="1" t="s">
        <v>15</v>
      </c>
    </row>
    <row r="571" spans="1:8" x14ac:dyDescent="0.2">
      <c r="A571" s="1" t="s">
        <v>409</v>
      </c>
      <c r="B571" t="s">
        <v>367</v>
      </c>
      <c r="C571" t="str">
        <f t="shared" si="15"/>
        <v>Cadre de santé1</v>
      </c>
      <c r="D571" t="s">
        <v>163</v>
      </c>
      <c r="E571">
        <v>1</v>
      </c>
      <c r="G571">
        <v>465</v>
      </c>
      <c r="H571" s="1" t="s">
        <v>15</v>
      </c>
    </row>
    <row r="572" spans="1:8" x14ac:dyDescent="0.2">
      <c r="A572" s="1" t="s">
        <v>409</v>
      </c>
      <c r="B572" t="s">
        <v>367</v>
      </c>
      <c r="C572" t="str">
        <f t="shared" si="15"/>
        <v>Cadre de santé2</v>
      </c>
      <c r="D572" t="s">
        <v>163</v>
      </c>
      <c r="E572">
        <v>2</v>
      </c>
      <c r="G572">
        <v>492</v>
      </c>
      <c r="H572" s="1" t="s">
        <v>15</v>
      </c>
    </row>
    <row r="573" spans="1:8" x14ac:dyDescent="0.2">
      <c r="A573" s="1" t="s">
        <v>409</v>
      </c>
      <c r="B573" t="s">
        <v>367</v>
      </c>
      <c r="C573" t="str">
        <f t="shared" si="15"/>
        <v>Cadre de santé3</v>
      </c>
      <c r="D573" t="s">
        <v>163</v>
      </c>
      <c r="E573">
        <v>3</v>
      </c>
      <c r="G573">
        <v>520</v>
      </c>
      <c r="H573" s="1" t="s">
        <v>15</v>
      </c>
    </row>
    <row r="574" spans="1:8" x14ac:dyDescent="0.2">
      <c r="A574" s="1" t="s">
        <v>409</v>
      </c>
      <c r="B574" t="s">
        <v>367</v>
      </c>
      <c r="C574" t="str">
        <f t="shared" si="15"/>
        <v>Cadre de santé4</v>
      </c>
      <c r="D574" t="s">
        <v>163</v>
      </c>
      <c r="E574">
        <v>4</v>
      </c>
      <c r="G574">
        <v>558</v>
      </c>
      <c r="H574" s="1" t="s">
        <v>15</v>
      </c>
    </row>
    <row r="575" spans="1:8" x14ac:dyDescent="0.2">
      <c r="A575" s="1" t="s">
        <v>409</v>
      </c>
      <c r="B575" t="s">
        <v>367</v>
      </c>
      <c r="C575" t="str">
        <f t="shared" si="15"/>
        <v>Cadre de santé5</v>
      </c>
      <c r="D575" t="s">
        <v>163</v>
      </c>
      <c r="E575">
        <v>5</v>
      </c>
      <c r="G575">
        <v>582</v>
      </c>
      <c r="H575" s="1" t="s">
        <v>15</v>
      </c>
    </row>
    <row r="576" spans="1:8" x14ac:dyDescent="0.2">
      <c r="A576" s="1" t="s">
        <v>409</v>
      </c>
      <c r="B576" t="s">
        <v>367</v>
      </c>
      <c r="C576" t="str">
        <f t="shared" si="15"/>
        <v>Cadre de santé6</v>
      </c>
      <c r="D576" t="s">
        <v>163</v>
      </c>
      <c r="E576">
        <v>6</v>
      </c>
      <c r="G576">
        <v>615</v>
      </c>
      <c r="H576" s="1" t="s">
        <v>15</v>
      </c>
    </row>
    <row r="577" spans="1:8" x14ac:dyDescent="0.2">
      <c r="A577" s="1" t="s">
        <v>409</v>
      </c>
      <c r="B577" t="s">
        <v>367</v>
      </c>
      <c r="C577" t="str">
        <f t="shared" si="15"/>
        <v>Cadre de santé7</v>
      </c>
      <c r="D577" t="s">
        <v>163</v>
      </c>
      <c r="E577">
        <v>7</v>
      </c>
      <c r="G577">
        <v>648</v>
      </c>
      <c r="H577" s="1" t="s">
        <v>15</v>
      </c>
    </row>
    <row r="578" spans="1:8" x14ac:dyDescent="0.2">
      <c r="A578" s="1" t="s">
        <v>409</v>
      </c>
      <c r="B578" t="s">
        <v>367</v>
      </c>
      <c r="C578" t="str">
        <f t="shared" si="15"/>
        <v>Cadre de santé8</v>
      </c>
      <c r="D578" t="s">
        <v>163</v>
      </c>
      <c r="E578">
        <v>8</v>
      </c>
      <c r="G578">
        <v>681</v>
      </c>
      <c r="H578" s="1" t="s">
        <v>15</v>
      </c>
    </row>
    <row r="579" spans="1:8" x14ac:dyDescent="0.2">
      <c r="A579" s="1" t="s">
        <v>409</v>
      </c>
      <c r="B579" t="s">
        <v>367</v>
      </c>
      <c r="C579" t="str">
        <f t="shared" si="15"/>
        <v>Cadre de santé9</v>
      </c>
      <c r="D579" t="s">
        <v>163</v>
      </c>
      <c r="E579">
        <v>9</v>
      </c>
      <c r="G579">
        <v>714</v>
      </c>
      <c r="H579" s="1" t="s">
        <v>15</v>
      </c>
    </row>
    <row r="580" spans="1:8" x14ac:dyDescent="0.2">
      <c r="A580" s="1" t="s">
        <v>409</v>
      </c>
      <c r="B580" t="s">
        <v>367</v>
      </c>
      <c r="C580" t="str">
        <f t="shared" si="15"/>
        <v>Cadre de santé10</v>
      </c>
      <c r="D580" t="s">
        <v>163</v>
      </c>
      <c r="E580">
        <v>10</v>
      </c>
      <c r="G580">
        <v>743</v>
      </c>
      <c r="H580" s="1" t="s">
        <v>15</v>
      </c>
    </row>
    <row r="581" spans="1:8" x14ac:dyDescent="0.2">
      <c r="A581" s="1" t="s">
        <v>409</v>
      </c>
      <c r="B581" t="s">
        <v>367</v>
      </c>
      <c r="C581" t="str">
        <f t="shared" si="15"/>
        <v>Cadre de santé11</v>
      </c>
      <c r="D581" t="s">
        <v>163</v>
      </c>
      <c r="E581">
        <v>11</v>
      </c>
      <c r="G581">
        <v>769</v>
      </c>
      <c r="H581" s="1" t="s">
        <v>15</v>
      </c>
    </row>
    <row r="582" spans="1:8" x14ac:dyDescent="0.2">
      <c r="A582" s="1" t="s">
        <v>409</v>
      </c>
      <c r="B582" t="s">
        <v>367</v>
      </c>
      <c r="C582" t="str">
        <f t="shared" si="15"/>
        <v>Cadre supérieur de santé 1</v>
      </c>
      <c r="D582" t="s">
        <v>384</v>
      </c>
      <c r="E582">
        <v>1</v>
      </c>
      <c r="G582">
        <v>585</v>
      </c>
      <c r="H582" s="1" t="s">
        <v>15</v>
      </c>
    </row>
    <row r="583" spans="1:8" x14ac:dyDescent="0.2">
      <c r="A583" s="1" t="s">
        <v>409</v>
      </c>
      <c r="B583" t="s">
        <v>367</v>
      </c>
      <c r="C583" t="str">
        <f t="shared" si="15"/>
        <v>Cadre supérieur de santé 2</v>
      </c>
      <c r="D583" t="s">
        <v>384</v>
      </c>
      <c r="E583">
        <v>2</v>
      </c>
      <c r="G583">
        <v>620</v>
      </c>
      <c r="H583" s="1" t="s">
        <v>15</v>
      </c>
    </row>
    <row r="584" spans="1:8" x14ac:dyDescent="0.2">
      <c r="A584" s="1" t="s">
        <v>409</v>
      </c>
      <c r="B584" t="s">
        <v>367</v>
      </c>
      <c r="C584" t="str">
        <f t="shared" si="15"/>
        <v>Cadre supérieur de santé 3</v>
      </c>
      <c r="D584" t="s">
        <v>384</v>
      </c>
      <c r="E584">
        <v>3</v>
      </c>
      <c r="G584">
        <v>655</v>
      </c>
      <c r="H584" s="1" t="s">
        <v>15</v>
      </c>
    </row>
    <row r="585" spans="1:8" x14ac:dyDescent="0.2">
      <c r="A585" s="1" t="s">
        <v>409</v>
      </c>
      <c r="B585" t="s">
        <v>367</v>
      </c>
      <c r="C585" t="str">
        <f t="shared" si="15"/>
        <v>Cadre supérieur de santé 4</v>
      </c>
      <c r="D585" t="s">
        <v>384</v>
      </c>
      <c r="E585">
        <v>4</v>
      </c>
      <c r="G585">
        <v>695</v>
      </c>
      <c r="H585" s="1" t="s">
        <v>15</v>
      </c>
    </row>
    <row r="586" spans="1:8" x14ac:dyDescent="0.2">
      <c r="A586" s="1" t="s">
        <v>409</v>
      </c>
      <c r="B586" t="s">
        <v>367</v>
      </c>
      <c r="C586" t="str">
        <f t="shared" si="15"/>
        <v>Cadre supérieur de santé 5</v>
      </c>
      <c r="D586" t="s">
        <v>384</v>
      </c>
      <c r="E586">
        <v>5</v>
      </c>
      <c r="G586">
        <v>735</v>
      </c>
      <c r="H586" s="1" t="s">
        <v>15</v>
      </c>
    </row>
    <row r="587" spans="1:8" x14ac:dyDescent="0.2">
      <c r="A587" s="1" t="s">
        <v>409</v>
      </c>
      <c r="B587" t="s">
        <v>367</v>
      </c>
      <c r="C587" t="str">
        <f t="shared" si="15"/>
        <v>Cadre supérieur de santé 6</v>
      </c>
      <c r="D587" t="s">
        <v>384</v>
      </c>
      <c r="E587">
        <v>6</v>
      </c>
      <c r="G587">
        <v>773</v>
      </c>
      <c r="H587" s="1" t="s">
        <v>15</v>
      </c>
    </row>
    <row r="588" spans="1:8" x14ac:dyDescent="0.2">
      <c r="A588" s="1" t="s">
        <v>409</v>
      </c>
      <c r="B588" t="s">
        <v>367</v>
      </c>
      <c r="C588" t="str">
        <f t="shared" si="15"/>
        <v>Cadre supérieur de santé 7</v>
      </c>
      <c r="D588" t="s">
        <v>384</v>
      </c>
      <c r="E588">
        <v>7</v>
      </c>
      <c r="G588">
        <v>811</v>
      </c>
      <c r="H588" s="1" t="s">
        <v>15</v>
      </c>
    </row>
    <row r="589" spans="1:8" x14ac:dyDescent="0.2">
      <c r="A589" s="1" t="s">
        <v>409</v>
      </c>
      <c r="B589" t="s">
        <v>367</v>
      </c>
      <c r="C589" t="str">
        <f t="shared" si="15"/>
        <v>Cadre supérieur de santé 8</v>
      </c>
      <c r="D589" t="s">
        <v>384</v>
      </c>
      <c r="E589">
        <v>8</v>
      </c>
      <c r="G589">
        <v>826</v>
      </c>
      <c r="H589" s="1" t="s">
        <v>15</v>
      </c>
    </row>
    <row r="590" spans="1:8" x14ac:dyDescent="0.2">
      <c r="A590" s="1" t="s">
        <v>409</v>
      </c>
      <c r="B590" t="s">
        <v>369</v>
      </c>
      <c r="C590" t="str">
        <f t="shared" si="15"/>
        <v>Puéricultrices1</v>
      </c>
      <c r="D590" t="s">
        <v>387</v>
      </c>
      <c r="E590">
        <v>1</v>
      </c>
      <c r="G590">
        <v>427</v>
      </c>
      <c r="H590" s="1" t="s">
        <v>15</v>
      </c>
    </row>
    <row r="591" spans="1:8" x14ac:dyDescent="0.2">
      <c r="A591" s="1" t="s">
        <v>409</v>
      </c>
      <c r="B591" t="s">
        <v>369</v>
      </c>
      <c r="C591" t="str">
        <f t="shared" si="15"/>
        <v>Puéricultrices2</v>
      </c>
      <c r="D591" t="s">
        <v>387</v>
      </c>
      <c r="E591">
        <v>2</v>
      </c>
      <c r="G591">
        <v>450</v>
      </c>
      <c r="H591" s="1" t="s">
        <v>15</v>
      </c>
    </row>
    <row r="592" spans="1:8" x14ac:dyDescent="0.2">
      <c r="A592" s="1" t="s">
        <v>409</v>
      </c>
      <c r="B592" t="s">
        <v>369</v>
      </c>
      <c r="C592" t="str">
        <f t="shared" si="15"/>
        <v>Puéricultrices3</v>
      </c>
      <c r="D592" t="s">
        <v>387</v>
      </c>
      <c r="E592">
        <v>3</v>
      </c>
      <c r="G592">
        <v>478</v>
      </c>
      <c r="H592" s="1" t="s">
        <v>15</v>
      </c>
    </row>
    <row r="593" spans="1:8" x14ac:dyDescent="0.2">
      <c r="A593" s="1" t="s">
        <v>409</v>
      </c>
      <c r="B593" t="s">
        <v>369</v>
      </c>
      <c r="C593" t="str">
        <f t="shared" si="15"/>
        <v>Puéricultrices4</v>
      </c>
      <c r="D593" t="s">
        <v>387</v>
      </c>
      <c r="E593">
        <v>4</v>
      </c>
      <c r="G593">
        <v>506</v>
      </c>
      <c r="H593" s="1" t="s">
        <v>15</v>
      </c>
    </row>
    <row r="594" spans="1:8" x14ac:dyDescent="0.2">
      <c r="A594" s="1" t="s">
        <v>409</v>
      </c>
      <c r="B594" t="s">
        <v>369</v>
      </c>
      <c r="C594" t="str">
        <f t="shared" si="15"/>
        <v>Puéricultrices5</v>
      </c>
      <c r="D594" t="s">
        <v>387</v>
      </c>
      <c r="E594">
        <v>5</v>
      </c>
      <c r="G594">
        <v>534</v>
      </c>
      <c r="H594" s="1" t="s">
        <v>15</v>
      </c>
    </row>
    <row r="595" spans="1:8" x14ac:dyDescent="0.2">
      <c r="A595" s="1" t="s">
        <v>409</v>
      </c>
      <c r="B595" t="s">
        <v>369</v>
      </c>
      <c r="C595" t="str">
        <f t="shared" si="15"/>
        <v>Puéricultrices6</v>
      </c>
      <c r="D595" t="s">
        <v>387</v>
      </c>
      <c r="E595">
        <v>6</v>
      </c>
      <c r="G595">
        <v>563</v>
      </c>
      <c r="H595" s="1" t="s">
        <v>15</v>
      </c>
    </row>
    <row r="596" spans="1:8" x14ac:dyDescent="0.2">
      <c r="A596" s="1" t="s">
        <v>409</v>
      </c>
      <c r="B596" t="s">
        <v>369</v>
      </c>
      <c r="C596" t="str">
        <f t="shared" si="15"/>
        <v>Puéricultrices7</v>
      </c>
      <c r="D596" t="s">
        <v>387</v>
      </c>
      <c r="E596">
        <v>7</v>
      </c>
      <c r="G596">
        <v>593</v>
      </c>
      <c r="H596" s="1" t="s">
        <v>15</v>
      </c>
    </row>
    <row r="597" spans="1:8" x14ac:dyDescent="0.2">
      <c r="A597" s="1" t="s">
        <v>409</v>
      </c>
      <c r="B597" t="s">
        <v>369</v>
      </c>
      <c r="C597" t="str">
        <f t="shared" si="15"/>
        <v>Puéricultrices8</v>
      </c>
      <c r="D597" t="s">
        <v>387</v>
      </c>
      <c r="E597">
        <v>8</v>
      </c>
      <c r="G597">
        <v>624</v>
      </c>
      <c r="H597" s="1" t="s">
        <v>15</v>
      </c>
    </row>
    <row r="598" spans="1:8" x14ac:dyDescent="0.2">
      <c r="A598" s="1" t="s">
        <v>409</v>
      </c>
      <c r="B598" t="s">
        <v>369</v>
      </c>
      <c r="C598" t="str">
        <f t="shared" si="15"/>
        <v>Puéricultrices9</v>
      </c>
      <c r="D598" t="s">
        <v>387</v>
      </c>
      <c r="E598">
        <v>9</v>
      </c>
      <c r="G598">
        <v>656</v>
      </c>
      <c r="H598" s="1" t="s">
        <v>15</v>
      </c>
    </row>
    <row r="599" spans="1:8" x14ac:dyDescent="0.2">
      <c r="A599" s="1" t="s">
        <v>409</v>
      </c>
      <c r="B599" t="s">
        <v>369</v>
      </c>
      <c r="C599" t="str">
        <f t="shared" si="15"/>
        <v>Puéricultrices10</v>
      </c>
      <c r="D599" t="s">
        <v>387</v>
      </c>
      <c r="E599">
        <v>10</v>
      </c>
      <c r="G599">
        <v>690</v>
      </c>
      <c r="H599" s="1" t="s">
        <v>15</v>
      </c>
    </row>
    <row r="600" spans="1:8" x14ac:dyDescent="0.2">
      <c r="A600" s="1" t="s">
        <v>409</v>
      </c>
      <c r="B600" t="s">
        <v>369</v>
      </c>
      <c r="C600" t="str">
        <f t="shared" si="15"/>
        <v>Puéricultrices11</v>
      </c>
      <c r="D600" t="s">
        <v>387</v>
      </c>
      <c r="E600">
        <v>11</v>
      </c>
      <c r="G600">
        <v>727</v>
      </c>
      <c r="H600" s="1" t="s">
        <v>15</v>
      </c>
    </row>
    <row r="601" spans="1:8" x14ac:dyDescent="0.2">
      <c r="A601" s="1" t="s">
        <v>409</v>
      </c>
      <c r="B601" t="s">
        <v>369</v>
      </c>
      <c r="C601" t="str">
        <f t="shared" si="15"/>
        <v>Puéricultrices hors classe1</v>
      </c>
      <c r="D601" t="s">
        <v>388</v>
      </c>
      <c r="E601">
        <v>1</v>
      </c>
      <c r="G601">
        <v>520</v>
      </c>
      <c r="H601" s="1" t="s">
        <v>15</v>
      </c>
    </row>
    <row r="602" spans="1:8" x14ac:dyDescent="0.2">
      <c r="A602" s="1" t="s">
        <v>409</v>
      </c>
      <c r="B602" t="s">
        <v>369</v>
      </c>
      <c r="C602" t="str">
        <f t="shared" si="15"/>
        <v>Puéricultrices hors classe2</v>
      </c>
      <c r="D602" t="s">
        <v>388</v>
      </c>
      <c r="E602">
        <v>2</v>
      </c>
      <c r="G602">
        <v>558</v>
      </c>
      <c r="H602" s="1" t="s">
        <v>15</v>
      </c>
    </row>
    <row r="603" spans="1:8" x14ac:dyDescent="0.2">
      <c r="A603" s="1" t="s">
        <v>409</v>
      </c>
      <c r="B603" t="s">
        <v>369</v>
      </c>
      <c r="C603" t="str">
        <f t="shared" si="15"/>
        <v>Puéricultrices hors classe3</v>
      </c>
      <c r="D603" t="s">
        <v>388</v>
      </c>
      <c r="E603">
        <v>3</v>
      </c>
      <c r="G603">
        <v>582</v>
      </c>
      <c r="H603" s="1" t="s">
        <v>15</v>
      </c>
    </row>
    <row r="604" spans="1:8" x14ac:dyDescent="0.2">
      <c r="A604" s="1" t="s">
        <v>409</v>
      </c>
      <c r="B604" t="s">
        <v>369</v>
      </c>
      <c r="C604" t="str">
        <f t="shared" si="15"/>
        <v>Puéricultrices hors classe4</v>
      </c>
      <c r="D604" t="s">
        <v>388</v>
      </c>
      <c r="E604">
        <v>4</v>
      </c>
      <c r="G604">
        <v>615</v>
      </c>
      <c r="H604" s="1" t="s">
        <v>15</v>
      </c>
    </row>
    <row r="605" spans="1:8" x14ac:dyDescent="0.2">
      <c r="A605" s="1" t="s">
        <v>409</v>
      </c>
      <c r="B605" t="s">
        <v>369</v>
      </c>
      <c r="C605" t="str">
        <f t="shared" si="15"/>
        <v>Puéricultrices hors classe5</v>
      </c>
      <c r="D605" t="s">
        <v>388</v>
      </c>
      <c r="E605">
        <v>5</v>
      </c>
      <c r="G605">
        <v>648</v>
      </c>
      <c r="H605" s="1" t="s">
        <v>15</v>
      </c>
    </row>
    <row r="606" spans="1:8" x14ac:dyDescent="0.2">
      <c r="A606" s="1" t="s">
        <v>409</v>
      </c>
      <c r="B606" t="s">
        <v>369</v>
      </c>
      <c r="C606" t="str">
        <f t="shared" si="15"/>
        <v>Puéricultrices hors classe6</v>
      </c>
      <c r="D606" t="s">
        <v>388</v>
      </c>
      <c r="E606">
        <v>6</v>
      </c>
      <c r="G606">
        <v>681</v>
      </c>
      <c r="H606" s="1" t="s">
        <v>15</v>
      </c>
    </row>
    <row r="607" spans="1:8" x14ac:dyDescent="0.2">
      <c r="A607" s="1" t="s">
        <v>409</v>
      </c>
      <c r="B607" t="s">
        <v>369</v>
      </c>
      <c r="C607" t="str">
        <f t="shared" si="15"/>
        <v>Puéricultrices hors classe7</v>
      </c>
      <c r="D607" t="s">
        <v>388</v>
      </c>
      <c r="E607">
        <v>7</v>
      </c>
      <c r="G607">
        <v>714</v>
      </c>
      <c r="H607" s="1" t="s">
        <v>15</v>
      </c>
    </row>
    <row r="608" spans="1:8" x14ac:dyDescent="0.2">
      <c r="A608" s="1" t="s">
        <v>409</v>
      </c>
      <c r="B608" t="s">
        <v>369</v>
      </c>
      <c r="C608" t="str">
        <f t="shared" si="15"/>
        <v>Puéricultrices hors classe8</v>
      </c>
      <c r="D608" t="s">
        <v>388</v>
      </c>
      <c r="E608">
        <v>8</v>
      </c>
      <c r="G608">
        <v>743</v>
      </c>
      <c r="H608" s="1" t="s">
        <v>15</v>
      </c>
    </row>
    <row r="609" spans="1:8" x14ac:dyDescent="0.2">
      <c r="A609" s="1" t="s">
        <v>409</v>
      </c>
      <c r="B609" t="s">
        <v>369</v>
      </c>
      <c r="C609" t="str">
        <f t="shared" si="15"/>
        <v>Puéricultrices hors classe9</v>
      </c>
      <c r="D609" t="s">
        <v>388</v>
      </c>
      <c r="E609">
        <v>9</v>
      </c>
      <c r="G609">
        <v>769</v>
      </c>
      <c r="H609" s="1" t="s">
        <v>15</v>
      </c>
    </row>
    <row r="610" spans="1:8" x14ac:dyDescent="0.2">
      <c r="A610" s="1" t="s">
        <v>409</v>
      </c>
      <c r="B610" t="s">
        <v>370</v>
      </c>
      <c r="C610" t="str">
        <f t="shared" si="15"/>
        <v>Infirmier en soins généraux1</v>
      </c>
      <c r="D610" t="s">
        <v>390</v>
      </c>
      <c r="E610">
        <v>1</v>
      </c>
      <c r="G610">
        <v>395</v>
      </c>
      <c r="H610" s="1" t="s">
        <v>15</v>
      </c>
    </row>
    <row r="611" spans="1:8" x14ac:dyDescent="0.2">
      <c r="A611" s="1" t="s">
        <v>409</v>
      </c>
      <c r="B611" t="s">
        <v>370</v>
      </c>
      <c r="C611" t="str">
        <f t="shared" si="15"/>
        <v>Infirmier en soins généraux2</v>
      </c>
      <c r="D611" t="s">
        <v>390</v>
      </c>
      <c r="E611">
        <v>2</v>
      </c>
      <c r="G611">
        <v>424</v>
      </c>
      <c r="H611" s="1" t="s">
        <v>15</v>
      </c>
    </row>
    <row r="612" spans="1:8" x14ac:dyDescent="0.2">
      <c r="A612" s="1" t="s">
        <v>409</v>
      </c>
      <c r="B612" t="s">
        <v>370</v>
      </c>
      <c r="C612" t="str">
        <f t="shared" si="15"/>
        <v>Infirmier en soins généraux3</v>
      </c>
      <c r="D612" t="s">
        <v>390</v>
      </c>
      <c r="E612">
        <v>3</v>
      </c>
      <c r="G612">
        <v>447</v>
      </c>
      <c r="H612" s="1" t="s">
        <v>15</v>
      </c>
    </row>
    <row r="613" spans="1:8" x14ac:dyDescent="0.2">
      <c r="A613" s="1" t="s">
        <v>409</v>
      </c>
      <c r="B613" t="s">
        <v>370</v>
      </c>
      <c r="C613" t="str">
        <f t="shared" si="15"/>
        <v>Infirmier en soins généraux4</v>
      </c>
      <c r="D613" t="s">
        <v>390</v>
      </c>
      <c r="E613">
        <v>4</v>
      </c>
      <c r="G613">
        <v>468</v>
      </c>
      <c r="H613" s="1" t="s">
        <v>15</v>
      </c>
    </row>
    <row r="614" spans="1:8" x14ac:dyDescent="0.2">
      <c r="A614" s="1" t="s">
        <v>409</v>
      </c>
      <c r="B614" t="s">
        <v>370</v>
      </c>
      <c r="C614" t="str">
        <f t="shared" si="15"/>
        <v>Infirmier en soins généraux5</v>
      </c>
      <c r="D614" t="s">
        <v>390</v>
      </c>
      <c r="E614">
        <v>5</v>
      </c>
      <c r="G614">
        <v>491</v>
      </c>
      <c r="H614" s="1" t="s">
        <v>15</v>
      </c>
    </row>
    <row r="615" spans="1:8" x14ac:dyDescent="0.2">
      <c r="A615" s="1" t="s">
        <v>409</v>
      </c>
      <c r="B615" t="s">
        <v>370</v>
      </c>
      <c r="C615" t="str">
        <f t="shared" si="15"/>
        <v>Infirmier en soins généraux6</v>
      </c>
      <c r="D615" t="s">
        <v>390</v>
      </c>
      <c r="E615">
        <v>6</v>
      </c>
      <c r="G615">
        <v>518</v>
      </c>
      <c r="H615" s="1" t="s">
        <v>15</v>
      </c>
    </row>
    <row r="616" spans="1:8" x14ac:dyDescent="0.2">
      <c r="A616" s="1" t="s">
        <v>409</v>
      </c>
      <c r="B616" t="s">
        <v>370</v>
      </c>
      <c r="C616" t="str">
        <f t="shared" si="15"/>
        <v>Infirmier en soins généraux7</v>
      </c>
      <c r="D616" t="s">
        <v>390</v>
      </c>
      <c r="E616">
        <v>7</v>
      </c>
      <c r="G616">
        <v>550</v>
      </c>
      <c r="H616" s="1" t="s">
        <v>15</v>
      </c>
    </row>
    <row r="617" spans="1:8" x14ac:dyDescent="0.2">
      <c r="A617" s="1" t="s">
        <v>409</v>
      </c>
      <c r="B617" t="s">
        <v>370</v>
      </c>
      <c r="C617" t="str">
        <f t="shared" si="15"/>
        <v>Infirmier en soins généraux8</v>
      </c>
      <c r="D617" t="s">
        <v>390</v>
      </c>
      <c r="E617">
        <v>8</v>
      </c>
      <c r="G617">
        <v>580</v>
      </c>
      <c r="H617" s="1" t="s">
        <v>15</v>
      </c>
    </row>
    <row r="618" spans="1:8" x14ac:dyDescent="0.2">
      <c r="A618" s="1" t="s">
        <v>409</v>
      </c>
      <c r="B618" t="s">
        <v>370</v>
      </c>
      <c r="C618" t="str">
        <f t="shared" si="15"/>
        <v>Infirmier en soins généraux9</v>
      </c>
      <c r="D618" t="s">
        <v>390</v>
      </c>
      <c r="E618">
        <v>9</v>
      </c>
      <c r="G618">
        <v>610</v>
      </c>
      <c r="H618" s="1" t="s">
        <v>15</v>
      </c>
    </row>
    <row r="619" spans="1:8" x14ac:dyDescent="0.2">
      <c r="A619" s="1" t="s">
        <v>409</v>
      </c>
      <c r="B619" t="s">
        <v>370</v>
      </c>
      <c r="C619" t="str">
        <f t="shared" si="15"/>
        <v>Infirmier en soins généraux10</v>
      </c>
      <c r="D619" t="s">
        <v>390</v>
      </c>
      <c r="E619">
        <v>10</v>
      </c>
      <c r="G619">
        <v>645</v>
      </c>
      <c r="H619" s="1" t="s">
        <v>15</v>
      </c>
    </row>
    <row r="620" spans="1:8" x14ac:dyDescent="0.2">
      <c r="A620" s="1" t="s">
        <v>409</v>
      </c>
      <c r="B620" t="s">
        <v>370</v>
      </c>
      <c r="C620" t="str">
        <f t="shared" si="15"/>
        <v>Infirmier en soins généraux11</v>
      </c>
      <c r="D620" t="s">
        <v>390</v>
      </c>
      <c r="E620">
        <v>11</v>
      </c>
      <c r="G620">
        <v>678</v>
      </c>
      <c r="H620" s="1" t="s">
        <v>15</v>
      </c>
    </row>
    <row r="621" spans="1:8" x14ac:dyDescent="0.2">
      <c r="A621" s="1" t="s">
        <v>409</v>
      </c>
      <c r="B621" t="s">
        <v>370</v>
      </c>
      <c r="C621" t="str">
        <f t="shared" si="15"/>
        <v>Infirmier en soins généraux hors classe1</v>
      </c>
      <c r="D621" t="s">
        <v>389</v>
      </c>
      <c r="E621">
        <v>1</v>
      </c>
      <c r="G621">
        <v>427</v>
      </c>
      <c r="H621" s="1" t="s">
        <v>15</v>
      </c>
    </row>
    <row r="622" spans="1:8" x14ac:dyDescent="0.2">
      <c r="A622" s="1" t="s">
        <v>409</v>
      </c>
      <c r="B622" t="s">
        <v>370</v>
      </c>
      <c r="C622" t="str">
        <f t="shared" si="15"/>
        <v>Infirmier en soins généraux hors classe2</v>
      </c>
      <c r="D622" t="s">
        <v>389</v>
      </c>
      <c r="E622">
        <v>2</v>
      </c>
      <c r="G622">
        <v>450</v>
      </c>
      <c r="H622" s="1" t="s">
        <v>15</v>
      </c>
    </row>
    <row r="623" spans="1:8" x14ac:dyDescent="0.2">
      <c r="A623" s="1" t="s">
        <v>409</v>
      </c>
      <c r="B623" t="s">
        <v>370</v>
      </c>
      <c r="C623" t="str">
        <f t="shared" si="15"/>
        <v>Infirmier en soins généraux hors classe3</v>
      </c>
      <c r="D623" t="s">
        <v>389</v>
      </c>
      <c r="E623">
        <v>3</v>
      </c>
      <c r="G623">
        <v>478</v>
      </c>
      <c r="H623" s="1" t="s">
        <v>15</v>
      </c>
    </row>
    <row r="624" spans="1:8" x14ac:dyDescent="0.2">
      <c r="A624" s="1" t="s">
        <v>409</v>
      </c>
      <c r="B624" t="s">
        <v>370</v>
      </c>
      <c r="C624" t="str">
        <f t="shared" si="15"/>
        <v>Infirmier en soins généraux hors classe4</v>
      </c>
      <c r="D624" t="s">
        <v>389</v>
      </c>
      <c r="E624">
        <v>4</v>
      </c>
      <c r="G624">
        <v>506</v>
      </c>
      <c r="H624" s="1" t="s">
        <v>15</v>
      </c>
    </row>
    <row r="625" spans="1:8" x14ac:dyDescent="0.2">
      <c r="A625" s="1" t="s">
        <v>409</v>
      </c>
      <c r="B625" t="s">
        <v>370</v>
      </c>
      <c r="C625" t="str">
        <f t="shared" ref="C625:C688" si="16">D625&amp;E625</f>
        <v>Infirmier en soins généraux hors classe5</v>
      </c>
      <c r="D625" t="s">
        <v>389</v>
      </c>
      <c r="E625">
        <v>5</v>
      </c>
      <c r="G625">
        <v>534</v>
      </c>
      <c r="H625" s="1" t="s">
        <v>15</v>
      </c>
    </row>
    <row r="626" spans="1:8" x14ac:dyDescent="0.2">
      <c r="A626" s="1" t="s">
        <v>409</v>
      </c>
      <c r="B626" t="s">
        <v>370</v>
      </c>
      <c r="C626" t="str">
        <f t="shared" si="16"/>
        <v>Infirmier en soins généraux hors classe6</v>
      </c>
      <c r="D626" t="s">
        <v>389</v>
      </c>
      <c r="E626">
        <v>6</v>
      </c>
      <c r="G626">
        <v>563</v>
      </c>
      <c r="H626" s="1" t="s">
        <v>15</v>
      </c>
    </row>
    <row r="627" spans="1:8" x14ac:dyDescent="0.2">
      <c r="A627" s="1" t="s">
        <v>409</v>
      </c>
      <c r="B627" t="s">
        <v>370</v>
      </c>
      <c r="C627" t="str">
        <f t="shared" si="16"/>
        <v>Infirmier en soins généraux hors classe7</v>
      </c>
      <c r="D627" t="s">
        <v>389</v>
      </c>
      <c r="E627">
        <v>7</v>
      </c>
      <c r="G627">
        <v>593</v>
      </c>
      <c r="H627" s="1" t="s">
        <v>15</v>
      </c>
    </row>
    <row r="628" spans="1:8" x14ac:dyDescent="0.2">
      <c r="A628" s="1" t="s">
        <v>409</v>
      </c>
      <c r="B628" t="s">
        <v>370</v>
      </c>
      <c r="C628" t="str">
        <f t="shared" si="16"/>
        <v>Infirmier en soins généraux hors classe8</v>
      </c>
      <c r="D628" t="s">
        <v>389</v>
      </c>
      <c r="E628">
        <v>8</v>
      </c>
      <c r="G628">
        <v>624</v>
      </c>
      <c r="H628" s="1" t="s">
        <v>15</v>
      </c>
    </row>
    <row r="629" spans="1:8" x14ac:dyDescent="0.2">
      <c r="A629" s="1" t="s">
        <v>409</v>
      </c>
      <c r="B629" t="s">
        <v>370</v>
      </c>
      <c r="C629" t="str">
        <f t="shared" si="16"/>
        <v>Infirmier en soins généraux hors classe9</v>
      </c>
      <c r="D629" t="s">
        <v>389</v>
      </c>
      <c r="E629">
        <v>9</v>
      </c>
      <c r="G629">
        <v>656</v>
      </c>
      <c r="H629" s="1" t="s">
        <v>15</v>
      </c>
    </row>
    <row r="630" spans="1:8" x14ac:dyDescent="0.2">
      <c r="A630" s="1" t="s">
        <v>409</v>
      </c>
      <c r="B630" t="s">
        <v>370</v>
      </c>
      <c r="C630" t="str">
        <f t="shared" si="16"/>
        <v>Infirmier en soins généraux hors classe10</v>
      </c>
      <c r="D630" t="s">
        <v>389</v>
      </c>
      <c r="E630">
        <v>10</v>
      </c>
      <c r="G630">
        <v>690</v>
      </c>
      <c r="H630" s="1" t="s">
        <v>15</v>
      </c>
    </row>
    <row r="631" spans="1:8" x14ac:dyDescent="0.2">
      <c r="A631" s="1" t="s">
        <v>409</v>
      </c>
      <c r="B631" t="s">
        <v>370</v>
      </c>
      <c r="C631" t="str">
        <f t="shared" si="16"/>
        <v>Infirmier en soins généraux hors classe11</v>
      </c>
      <c r="D631" t="s">
        <v>389</v>
      </c>
      <c r="E631">
        <v>11</v>
      </c>
      <c r="G631">
        <v>727</v>
      </c>
      <c r="H631" s="1" t="s">
        <v>15</v>
      </c>
    </row>
    <row r="632" spans="1:8" x14ac:dyDescent="0.2">
      <c r="A632" s="1" t="s">
        <v>409</v>
      </c>
      <c r="B632" t="s">
        <v>371</v>
      </c>
      <c r="C632" t="str">
        <f t="shared" si="16"/>
        <v>Sage-femme de classe normale1</v>
      </c>
      <c r="D632" t="s">
        <v>392</v>
      </c>
      <c r="E632">
        <v>1</v>
      </c>
      <c r="G632">
        <v>465</v>
      </c>
      <c r="H632" s="1" t="s">
        <v>15</v>
      </c>
    </row>
    <row r="633" spans="1:8" x14ac:dyDescent="0.2">
      <c r="A633" s="1" t="s">
        <v>409</v>
      </c>
      <c r="B633" t="s">
        <v>371</v>
      </c>
      <c r="C633" t="str">
        <f t="shared" si="16"/>
        <v>Sage-femme de classe normale2</v>
      </c>
      <c r="D633" t="s">
        <v>392</v>
      </c>
      <c r="E633">
        <v>2</v>
      </c>
      <c r="G633">
        <v>492</v>
      </c>
      <c r="H633" s="1" t="s">
        <v>15</v>
      </c>
    </row>
    <row r="634" spans="1:8" x14ac:dyDescent="0.2">
      <c r="A634" s="1" t="s">
        <v>409</v>
      </c>
      <c r="B634" t="s">
        <v>371</v>
      </c>
      <c r="C634" t="str">
        <f t="shared" si="16"/>
        <v>Sage-femme de classe normale3</v>
      </c>
      <c r="D634" t="s">
        <v>392</v>
      </c>
      <c r="E634">
        <v>3</v>
      </c>
      <c r="G634">
        <v>515</v>
      </c>
      <c r="H634" s="1" t="s">
        <v>15</v>
      </c>
    </row>
    <row r="635" spans="1:8" x14ac:dyDescent="0.2">
      <c r="A635" s="1" t="s">
        <v>409</v>
      </c>
      <c r="B635" t="s">
        <v>371</v>
      </c>
      <c r="C635" t="str">
        <f t="shared" si="16"/>
        <v>Sage-femme de classe normale4</v>
      </c>
      <c r="D635" t="s">
        <v>392</v>
      </c>
      <c r="E635">
        <v>4</v>
      </c>
      <c r="G635">
        <v>534</v>
      </c>
      <c r="H635" s="1" t="s">
        <v>15</v>
      </c>
    </row>
    <row r="636" spans="1:8" x14ac:dyDescent="0.2">
      <c r="A636" s="1" t="s">
        <v>409</v>
      </c>
      <c r="B636" t="s">
        <v>371</v>
      </c>
      <c r="C636" t="str">
        <f t="shared" si="16"/>
        <v>Sage-femme de classe normale5</v>
      </c>
      <c r="D636" t="s">
        <v>392</v>
      </c>
      <c r="E636">
        <v>5</v>
      </c>
      <c r="G636">
        <v>556</v>
      </c>
      <c r="H636" s="1" t="s">
        <v>15</v>
      </c>
    </row>
    <row r="637" spans="1:8" x14ac:dyDescent="0.2">
      <c r="A637" s="1" t="s">
        <v>409</v>
      </c>
      <c r="B637" t="s">
        <v>371</v>
      </c>
      <c r="C637" t="str">
        <f t="shared" si="16"/>
        <v>Sage-femme de classe normale6</v>
      </c>
      <c r="D637" t="s">
        <v>392</v>
      </c>
      <c r="E637">
        <v>6</v>
      </c>
      <c r="G637">
        <v>581</v>
      </c>
      <c r="H637" s="1" t="s">
        <v>15</v>
      </c>
    </row>
    <row r="638" spans="1:8" x14ac:dyDescent="0.2">
      <c r="A638" s="1" t="s">
        <v>409</v>
      </c>
      <c r="B638" t="s">
        <v>371</v>
      </c>
      <c r="C638" t="str">
        <f t="shared" si="16"/>
        <v>Sage-femme de classe normale7</v>
      </c>
      <c r="D638" t="s">
        <v>392</v>
      </c>
      <c r="E638">
        <v>7</v>
      </c>
      <c r="G638">
        <v>610</v>
      </c>
      <c r="H638" s="1" t="s">
        <v>15</v>
      </c>
    </row>
    <row r="639" spans="1:8" x14ac:dyDescent="0.2">
      <c r="A639" s="1" t="s">
        <v>409</v>
      </c>
      <c r="B639" t="s">
        <v>371</v>
      </c>
      <c r="C639" t="str">
        <f t="shared" si="16"/>
        <v>Sage-femme de classe normale8</v>
      </c>
      <c r="D639" t="s">
        <v>392</v>
      </c>
      <c r="E639">
        <v>8</v>
      </c>
      <c r="G639">
        <v>647</v>
      </c>
      <c r="H639" s="1" t="s">
        <v>15</v>
      </c>
    </row>
    <row r="640" spans="1:8" x14ac:dyDescent="0.2">
      <c r="A640" s="1" t="s">
        <v>409</v>
      </c>
      <c r="B640" t="s">
        <v>371</v>
      </c>
      <c r="C640" t="str">
        <f t="shared" si="16"/>
        <v>Sage-femme de classe normale9</v>
      </c>
      <c r="D640" t="s">
        <v>392</v>
      </c>
      <c r="E640">
        <v>9</v>
      </c>
      <c r="G640">
        <v>681</v>
      </c>
      <c r="H640" s="1" t="s">
        <v>15</v>
      </c>
    </row>
    <row r="641" spans="1:8" x14ac:dyDescent="0.2">
      <c r="A641" s="1" t="s">
        <v>409</v>
      </c>
      <c r="B641" t="s">
        <v>371</v>
      </c>
      <c r="C641" t="str">
        <f t="shared" si="16"/>
        <v>Sage-femme de classe normale10</v>
      </c>
      <c r="D641" t="s">
        <v>392</v>
      </c>
      <c r="E641">
        <v>10</v>
      </c>
      <c r="G641">
        <v>723</v>
      </c>
      <c r="H641" s="1" t="s">
        <v>15</v>
      </c>
    </row>
    <row r="642" spans="1:8" x14ac:dyDescent="0.2">
      <c r="A642" s="1" t="s">
        <v>409</v>
      </c>
      <c r="B642" t="s">
        <v>371</v>
      </c>
      <c r="C642" t="str">
        <f t="shared" si="16"/>
        <v>Sage-femme hors-classe1</v>
      </c>
      <c r="D642" t="s">
        <v>391</v>
      </c>
      <c r="E642">
        <v>1</v>
      </c>
      <c r="G642">
        <v>568</v>
      </c>
      <c r="H642" s="1" t="s">
        <v>15</v>
      </c>
    </row>
    <row r="643" spans="1:8" x14ac:dyDescent="0.2">
      <c r="A643" s="1" t="s">
        <v>409</v>
      </c>
      <c r="B643" t="s">
        <v>371</v>
      </c>
      <c r="C643" t="str">
        <f t="shared" si="16"/>
        <v>Sage-femme hors-classe2</v>
      </c>
      <c r="D643" t="s">
        <v>391</v>
      </c>
      <c r="E643">
        <v>2</v>
      </c>
      <c r="G643">
        <v>598</v>
      </c>
      <c r="H643" s="1" t="s">
        <v>15</v>
      </c>
    </row>
    <row r="644" spans="1:8" x14ac:dyDescent="0.2">
      <c r="A644" s="1" t="s">
        <v>409</v>
      </c>
      <c r="B644" t="s">
        <v>371</v>
      </c>
      <c r="C644" t="str">
        <f t="shared" si="16"/>
        <v>Sage-femme hors-classe3</v>
      </c>
      <c r="D644" t="s">
        <v>391</v>
      </c>
      <c r="E644">
        <v>3</v>
      </c>
      <c r="G644">
        <v>628</v>
      </c>
      <c r="H644" s="1" t="s">
        <v>15</v>
      </c>
    </row>
    <row r="645" spans="1:8" x14ac:dyDescent="0.2">
      <c r="A645" s="1" t="s">
        <v>409</v>
      </c>
      <c r="B645" t="s">
        <v>371</v>
      </c>
      <c r="C645" t="str">
        <f t="shared" si="16"/>
        <v>Sage-femme hors-classe4</v>
      </c>
      <c r="D645" t="s">
        <v>391</v>
      </c>
      <c r="E645">
        <v>4</v>
      </c>
      <c r="G645">
        <v>658</v>
      </c>
      <c r="H645" s="1" t="s">
        <v>15</v>
      </c>
    </row>
    <row r="646" spans="1:8" x14ac:dyDescent="0.2">
      <c r="A646" s="1" t="s">
        <v>409</v>
      </c>
      <c r="B646" t="s">
        <v>371</v>
      </c>
      <c r="C646" t="str">
        <f t="shared" si="16"/>
        <v>Sage-femme hors-classe5</v>
      </c>
      <c r="D646" t="s">
        <v>391</v>
      </c>
      <c r="E646">
        <v>5</v>
      </c>
      <c r="G646">
        <v>693</v>
      </c>
      <c r="H646" s="1" t="s">
        <v>15</v>
      </c>
    </row>
    <row r="647" spans="1:8" x14ac:dyDescent="0.2">
      <c r="A647" s="1" t="s">
        <v>409</v>
      </c>
      <c r="B647" t="s">
        <v>371</v>
      </c>
      <c r="C647" t="str">
        <f t="shared" si="16"/>
        <v>Sage-femme hors-classe6</v>
      </c>
      <c r="D647" t="s">
        <v>391</v>
      </c>
      <c r="E647">
        <v>6</v>
      </c>
      <c r="G647">
        <v>728</v>
      </c>
      <c r="H647" s="1" t="s">
        <v>15</v>
      </c>
    </row>
    <row r="648" spans="1:8" x14ac:dyDescent="0.2">
      <c r="A648" s="1" t="s">
        <v>409</v>
      </c>
      <c r="B648" t="s">
        <v>371</v>
      </c>
      <c r="C648" t="str">
        <f t="shared" si="16"/>
        <v>Sage-femme hors-classe7</v>
      </c>
      <c r="D648" t="s">
        <v>391</v>
      </c>
      <c r="E648">
        <v>7</v>
      </c>
      <c r="G648">
        <v>760</v>
      </c>
      <c r="H648" s="1" t="s">
        <v>15</v>
      </c>
    </row>
    <row r="649" spans="1:8" x14ac:dyDescent="0.2">
      <c r="A649" s="1" t="s">
        <v>409</v>
      </c>
      <c r="B649" t="s">
        <v>371</v>
      </c>
      <c r="C649" t="str">
        <f t="shared" si="16"/>
        <v>Sage-femme hors-classe8</v>
      </c>
      <c r="D649" t="s">
        <v>391</v>
      </c>
      <c r="E649">
        <v>8</v>
      </c>
      <c r="G649">
        <v>794</v>
      </c>
      <c r="H649" s="1" t="s">
        <v>15</v>
      </c>
    </row>
    <row r="650" spans="1:8" x14ac:dyDescent="0.2">
      <c r="A650" s="1" t="s">
        <v>409</v>
      </c>
      <c r="B650" t="s">
        <v>371</v>
      </c>
      <c r="C650" t="str">
        <f t="shared" si="16"/>
        <v>Sage-femme hors-classe9</v>
      </c>
      <c r="D650" t="s">
        <v>391</v>
      </c>
      <c r="E650">
        <v>9</v>
      </c>
      <c r="G650">
        <v>832</v>
      </c>
      <c r="H650" s="1" t="s">
        <v>15</v>
      </c>
    </row>
    <row r="651" spans="1:8" x14ac:dyDescent="0.2">
      <c r="A651" s="1" t="s">
        <v>409</v>
      </c>
      <c r="B651" t="s">
        <v>371</v>
      </c>
      <c r="C651" t="str">
        <f t="shared" si="16"/>
        <v>Sage-femme hors-classe10</v>
      </c>
      <c r="D651" t="s">
        <v>391</v>
      </c>
      <c r="E651">
        <v>10</v>
      </c>
      <c r="G651">
        <v>835</v>
      </c>
      <c r="H651" s="1" t="s">
        <v>15</v>
      </c>
    </row>
    <row r="652" spans="1:8" x14ac:dyDescent="0.2">
      <c r="A652" s="1" t="s">
        <v>409</v>
      </c>
      <c r="B652" t="s">
        <v>372</v>
      </c>
      <c r="C652" t="str">
        <f t="shared" si="16"/>
        <v>Psychologues de classe normale1</v>
      </c>
      <c r="D652" t="s">
        <v>394</v>
      </c>
      <c r="E652">
        <v>1</v>
      </c>
      <c r="G652">
        <v>395</v>
      </c>
      <c r="H652" s="1" t="s">
        <v>15</v>
      </c>
    </row>
    <row r="653" spans="1:8" x14ac:dyDescent="0.2">
      <c r="A653" s="1" t="s">
        <v>409</v>
      </c>
      <c r="B653" t="s">
        <v>372</v>
      </c>
      <c r="C653" t="str">
        <f t="shared" si="16"/>
        <v>Psychologues de classe normale2</v>
      </c>
      <c r="D653" t="s">
        <v>394</v>
      </c>
      <c r="E653">
        <v>2</v>
      </c>
      <c r="G653">
        <v>405</v>
      </c>
      <c r="H653" s="1" t="s">
        <v>15</v>
      </c>
    </row>
    <row r="654" spans="1:8" x14ac:dyDescent="0.2">
      <c r="A654" s="1" t="s">
        <v>409</v>
      </c>
      <c r="B654" t="s">
        <v>372</v>
      </c>
      <c r="C654" t="str">
        <f t="shared" si="16"/>
        <v>Psychologues de classe normale3</v>
      </c>
      <c r="D654" t="s">
        <v>394</v>
      </c>
      <c r="E654">
        <v>3</v>
      </c>
      <c r="G654">
        <v>416</v>
      </c>
      <c r="H654" s="1" t="s">
        <v>15</v>
      </c>
    </row>
    <row r="655" spans="1:8" x14ac:dyDescent="0.2">
      <c r="A655" s="1" t="s">
        <v>409</v>
      </c>
      <c r="B655" t="s">
        <v>372</v>
      </c>
      <c r="C655" t="str">
        <f t="shared" si="16"/>
        <v>Psychologues de classe normale4</v>
      </c>
      <c r="D655" t="s">
        <v>394</v>
      </c>
      <c r="E655">
        <v>4</v>
      </c>
      <c r="G655">
        <v>436</v>
      </c>
      <c r="H655" s="1" t="s">
        <v>15</v>
      </c>
    </row>
    <row r="656" spans="1:8" x14ac:dyDescent="0.2">
      <c r="A656" s="1" t="s">
        <v>409</v>
      </c>
      <c r="B656" t="s">
        <v>372</v>
      </c>
      <c r="C656" t="str">
        <f t="shared" si="16"/>
        <v>Psychologues de classe normale5</v>
      </c>
      <c r="D656" t="s">
        <v>394</v>
      </c>
      <c r="E656">
        <v>5</v>
      </c>
      <c r="G656">
        <v>462</v>
      </c>
      <c r="H656" s="1" t="s">
        <v>15</v>
      </c>
    </row>
    <row r="657" spans="1:8" x14ac:dyDescent="0.2">
      <c r="A657" s="1" t="s">
        <v>409</v>
      </c>
      <c r="B657" t="s">
        <v>372</v>
      </c>
      <c r="C657" t="str">
        <f t="shared" si="16"/>
        <v>Psychologues de classe normale6</v>
      </c>
      <c r="D657" t="s">
        <v>394</v>
      </c>
      <c r="E657">
        <v>6</v>
      </c>
      <c r="G657">
        <v>497</v>
      </c>
      <c r="H657" s="1" t="s">
        <v>15</v>
      </c>
    </row>
    <row r="658" spans="1:8" x14ac:dyDescent="0.2">
      <c r="A658" s="1" t="s">
        <v>409</v>
      </c>
      <c r="B658" t="s">
        <v>372</v>
      </c>
      <c r="C658" t="str">
        <f t="shared" si="16"/>
        <v>Psychologues de classe normale7</v>
      </c>
      <c r="D658" t="s">
        <v>394</v>
      </c>
      <c r="E658">
        <v>7</v>
      </c>
      <c r="G658">
        <v>254</v>
      </c>
      <c r="H658" s="1" t="s">
        <v>15</v>
      </c>
    </row>
    <row r="659" spans="1:8" x14ac:dyDescent="0.2">
      <c r="A659" s="1" t="s">
        <v>409</v>
      </c>
      <c r="B659" t="s">
        <v>372</v>
      </c>
      <c r="C659" t="str">
        <f t="shared" si="16"/>
        <v>Psychologues de classe normale8</v>
      </c>
      <c r="D659" t="s">
        <v>394</v>
      </c>
      <c r="E659">
        <v>8</v>
      </c>
      <c r="G659">
        <v>562</v>
      </c>
      <c r="H659" s="1" t="s">
        <v>15</v>
      </c>
    </row>
    <row r="660" spans="1:8" x14ac:dyDescent="0.2">
      <c r="A660" s="1" t="s">
        <v>409</v>
      </c>
      <c r="B660" t="s">
        <v>372</v>
      </c>
      <c r="C660" t="str">
        <f t="shared" si="16"/>
        <v>Psychologues de classe normale9</v>
      </c>
      <c r="D660" t="s">
        <v>394</v>
      </c>
      <c r="E660">
        <v>9</v>
      </c>
      <c r="G660">
        <v>595</v>
      </c>
      <c r="H660" s="1" t="s">
        <v>15</v>
      </c>
    </row>
    <row r="661" spans="1:8" x14ac:dyDescent="0.2">
      <c r="A661" s="1" t="s">
        <v>409</v>
      </c>
      <c r="B661" t="s">
        <v>372</v>
      </c>
      <c r="C661" t="str">
        <f t="shared" si="16"/>
        <v>Psychologues de classe normale10</v>
      </c>
      <c r="D661" t="s">
        <v>394</v>
      </c>
      <c r="E661">
        <v>10</v>
      </c>
      <c r="G661">
        <v>634</v>
      </c>
      <c r="H661" s="1" t="s">
        <v>15</v>
      </c>
    </row>
    <row r="662" spans="1:8" x14ac:dyDescent="0.2">
      <c r="A662" s="1" t="s">
        <v>409</v>
      </c>
      <c r="B662" t="s">
        <v>372</v>
      </c>
      <c r="C662" t="str">
        <f t="shared" si="16"/>
        <v>Psychologues de classe normale11</v>
      </c>
      <c r="D662" t="s">
        <v>394</v>
      </c>
      <c r="E662">
        <v>11</v>
      </c>
      <c r="G662">
        <v>678</v>
      </c>
      <c r="H662" s="1" t="s">
        <v>15</v>
      </c>
    </row>
    <row r="663" spans="1:8" x14ac:dyDescent="0.2">
      <c r="A663" s="1" t="s">
        <v>409</v>
      </c>
      <c r="B663" t="s">
        <v>372</v>
      </c>
      <c r="C663" t="str">
        <f t="shared" si="16"/>
        <v>Psychologues hors classe1</v>
      </c>
      <c r="D663" t="s">
        <v>393</v>
      </c>
      <c r="E663">
        <v>1</v>
      </c>
      <c r="G663">
        <v>525</v>
      </c>
      <c r="H663" s="1" t="s">
        <v>15</v>
      </c>
    </row>
    <row r="664" spans="1:8" x14ac:dyDescent="0.2">
      <c r="A664" s="1" t="s">
        <v>409</v>
      </c>
      <c r="B664" t="s">
        <v>372</v>
      </c>
      <c r="C664" t="str">
        <f t="shared" si="16"/>
        <v>Psychologues hors classe2</v>
      </c>
      <c r="D664" t="s">
        <v>393</v>
      </c>
      <c r="E664">
        <v>2</v>
      </c>
      <c r="G664">
        <v>595</v>
      </c>
      <c r="H664" s="1" t="s">
        <v>15</v>
      </c>
    </row>
    <row r="665" spans="1:8" x14ac:dyDescent="0.2">
      <c r="A665" s="1" t="s">
        <v>409</v>
      </c>
      <c r="B665" t="s">
        <v>372</v>
      </c>
      <c r="C665" t="str">
        <f t="shared" si="16"/>
        <v>Psychologues hors classe3</v>
      </c>
      <c r="D665" t="s">
        <v>393</v>
      </c>
      <c r="E665">
        <v>3</v>
      </c>
      <c r="G665">
        <v>629</v>
      </c>
      <c r="H665" s="1" t="s">
        <v>15</v>
      </c>
    </row>
    <row r="666" spans="1:8" x14ac:dyDescent="0.2">
      <c r="A666" s="1" t="s">
        <v>409</v>
      </c>
      <c r="B666" t="s">
        <v>372</v>
      </c>
      <c r="C666" t="str">
        <f t="shared" si="16"/>
        <v>Psychologues hors classe4</v>
      </c>
      <c r="D666" t="s">
        <v>393</v>
      </c>
      <c r="E666">
        <v>4</v>
      </c>
      <c r="G666">
        <v>673</v>
      </c>
      <c r="H666" s="1" t="s">
        <v>15</v>
      </c>
    </row>
    <row r="667" spans="1:8" x14ac:dyDescent="0.2">
      <c r="A667" s="1" t="s">
        <v>409</v>
      </c>
      <c r="B667" t="s">
        <v>372</v>
      </c>
      <c r="C667" t="str">
        <f t="shared" si="16"/>
        <v>Psychologues hors classe5</v>
      </c>
      <c r="D667" t="s">
        <v>393</v>
      </c>
      <c r="E667">
        <v>5</v>
      </c>
      <c r="G667">
        <v>720</v>
      </c>
      <c r="H667" s="1" t="s">
        <v>15</v>
      </c>
    </row>
    <row r="668" spans="1:8" x14ac:dyDescent="0.2">
      <c r="A668" s="1" t="s">
        <v>409</v>
      </c>
      <c r="B668" t="s">
        <v>372</v>
      </c>
      <c r="C668" t="str">
        <f t="shared" si="16"/>
        <v>Psychologues hors classe6</v>
      </c>
      <c r="D668" t="s">
        <v>393</v>
      </c>
      <c r="E668">
        <v>6</v>
      </c>
      <c r="G668">
        <v>768</v>
      </c>
      <c r="H668" s="1" t="s">
        <v>15</v>
      </c>
    </row>
    <row r="669" spans="1:8" x14ac:dyDescent="0.2">
      <c r="A669" s="1" t="s">
        <v>409</v>
      </c>
      <c r="B669" t="s">
        <v>372</v>
      </c>
      <c r="C669" t="str">
        <f t="shared" si="16"/>
        <v>Psychologues hors classe7</v>
      </c>
      <c r="D669" t="s">
        <v>393</v>
      </c>
      <c r="E669">
        <v>7</v>
      </c>
      <c r="G669">
        <v>811</v>
      </c>
      <c r="H669" s="1" t="s">
        <v>15</v>
      </c>
    </row>
    <row r="670" spans="1:8" x14ac:dyDescent="0.2">
      <c r="A670" s="1" t="s">
        <v>409</v>
      </c>
      <c r="B670" t="s">
        <v>372</v>
      </c>
      <c r="C670" t="str">
        <f t="shared" si="16"/>
        <v>Psychologues hors classe8</v>
      </c>
      <c r="D670" t="s">
        <v>393</v>
      </c>
      <c r="E670">
        <v>8</v>
      </c>
      <c r="G670">
        <v>826</v>
      </c>
      <c r="H670" s="1" t="s">
        <v>15</v>
      </c>
    </row>
    <row r="671" spans="1:8" x14ac:dyDescent="0.2">
      <c r="A671" s="1" t="s">
        <v>409</v>
      </c>
      <c r="B671" t="s">
        <v>373</v>
      </c>
      <c r="C671" t="str">
        <f t="shared" si="16"/>
        <v>Educateur de jeunes enfants1</v>
      </c>
      <c r="D671" t="s">
        <v>410</v>
      </c>
      <c r="E671">
        <v>1</v>
      </c>
      <c r="G671">
        <v>395</v>
      </c>
      <c r="H671" s="1" t="s">
        <v>15</v>
      </c>
    </row>
    <row r="672" spans="1:8" x14ac:dyDescent="0.2">
      <c r="A672" s="1" t="s">
        <v>409</v>
      </c>
      <c r="B672" t="s">
        <v>373</v>
      </c>
      <c r="C672" t="str">
        <f t="shared" si="16"/>
        <v>Educateur de jeunes enfants2</v>
      </c>
      <c r="D672" t="s">
        <v>410</v>
      </c>
      <c r="E672">
        <v>2</v>
      </c>
      <c r="G672">
        <v>409</v>
      </c>
      <c r="H672" s="1" t="s">
        <v>15</v>
      </c>
    </row>
    <row r="673" spans="1:8" x14ac:dyDescent="0.2">
      <c r="A673" s="1" t="s">
        <v>409</v>
      </c>
      <c r="B673" t="s">
        <v>373</v>
      </c>
      <c r="C673" t="str">
        <f t="shared" si="16"/>
        <v>Educateur de jeunes enfants3</v>
      </c>
      <c r="D673" t="s">
        <v>410</v>
      </c>
      <c r="E673">
        <v>3</v>
      </c>
      <c r="G673">
        <v>420</v>
      </c>
      <c r="H673" s="1" t="s">
        <v>15</v>
      </c>
    </row>
    <row r="674" spans="1:8" x14ac:dyDescent="0.2">
      <c r="A674" s="1" t="s">
        <v>409</v>
      </c>
      <c r="B674" t="s">
        <v>373</v>
      </c>
      <c r="C674" t="str">
        <f t="shared" si="16"/>
        <v>Educateur de jeunes enfants4</v>
      </c>
      <c r="D674" t="s">
        <v>410</v>
      </c>
      <c r="E674">
        <v>4</v>
      </c>
      <c r="G674">
        <v>431</v>
      </c>
      <c r="H674" s="1" t="s">
        <v>15</v>
      </c>
    </row>
    <row r="675" spans="1:8" x14ac:dyDescent="0.2">
      <c r="A675" s="1" t="s">
        <v>409</v>
      </c>
      <c r="B675" t="s">
        <v>373</v>
      </c>
      <c r="C675" t="str">
        <f t="shared" si="16"/>
        <v>Educateur de jeunes enfants5</v>
      </c>
      <c r="D675" t="s">
        <v>410</v>
      </c>
      <c r="E675">
        <v>5</v>
      </c>
      <c r="G675">
        <v>445</v>
      </c>
      <c r="H675" s="1" t="s">
        <v>15</v>
      </c>
    </row>
    <row r="676" spans="1:8" x14ac:dyDescent="0.2">
      <c r="A676" s="1" t="s">
        <v>409</v>
      </c>
      <c r="B676" t="s">
        <v>373</v>
      </c>
      <c r="C676" t="str">
        <f t="shared" si="16"/>
        <v>Educateur de jeunes enfants6</v>
      </c>
      <c r="D676" t="s">
        <v>410</v>
      </c>
      <c r="E676">
        <v>6</v>
      </c>
      <c r="G676">
        <v>457</v>
      </c>
      <c r="H676" s="1" t="s">
        <v>15</v>
      </c>
    </row>
    <row r="677" spans="1:8" x14ac:dyDescent="0.2">
      <c r="A677" s="1" t="s">
        <v>409</v>
      </c>
      <c r="B677" t="s">
        <v>373</v>
      </c>
      <c r="C677" t="str">
        <f t="shared" si="16"/>
        <v>Educateur de jeunes enfants7</v>
      </c>
      <c r="D677" t="s">
        <v>410</v>
      </c>
      <c r="E677">
        <v>7</v>
      </c>
      <c r="G677">
        <v>470</v>
      </c>
      <c r="H677" s="1" t="s">
        <v>15</v>
      </c>
    </row>
    <row r="678" spans="1:8" x14ac:dyDescent="0.2">
      <c r="A678" s="1" t="s">
        <v>409</v>
      </c>
      <c r="B678" t="s">
        <v>373</v>
      </c>
      <c r="C678" t="str">
        <f t="shared" si="16"/>
        <v>Educateur de jeunes enfants8</v>
      </c>
      <c r="D678" t="s">
        <v>410</v>
      </c>
      <c r="E678">
        <v>8</v>
      </c>
      <c r="G678">
        <v>487</v>
      </c>
      <c r="H678" s="1" t="s">
        <v>15</v>
      </c>
    </row>
    <row r="679" spans="1:8" x14ac:dyDescent="0.2">
      <c r="A679" s="1" t="s">
        <v>409</v>
      </c>
      <c r="B679" t="s">
        <v>373</v>
      </c>
      <c r="C679" t="str">
        <f t="shared" si="16"/>
        <v>Educateur de jeunes enfants9</v>
      </c>
      <c r="D679" t="s">
        <v>410</v>
      </c>
      <c r="E679">
        <v>9</v>
      </c>
      <c r="G679">
        <v>507</v>
      </c>
      <c r="H679" s="1" t="s">
        <v>15</v>
      </c>
    </row>
    <row r="680" spans="1:8" x14ac:dyDescent="0.2">
      <c r="A680" s="1" t="s">
        <v>409</v>
      </c>
      <c r="B680" t="s">
        <v>373</v>
      </c>
      <c r="C680" t="str">
        <f t="shared" si="16"/>
        <v>Educateur de jeunes enfants10</v>
      </c>
      <c r="D680" t="s">
        <v>410</v>
      </c>
      <c r="E680">
        <v>10</v>
      </c>
      <c r="G680">
        <v>528</v>
      </c>
      <c r="H680" s="1" t="s">
        <v>15</v>
      </c>
    </row>
    <row r="681" spans="1:8" x14ac:dyDescent="0.2">
      <c r="A681" s="1" t="s">
        <v>409</v>
      </c>
      <c r="B681" t="s">
        <v>373</v>
      </c>
      <c r="C681" t="str">
        <f t="shared" si="16"/>
        <v>Educateur de jeunes enfants11</v>
      </c>
      <c r="D681" t="s">
        <v>410</v>
      </c>
      <c r="E681">
        <v>11</v>
      </c>
      <c r="G681">
        <v>551</v>
      </c>
      <c r="H681" s="1" t="s">
        <v>15</v>
      </c>
    </row>
    <row r="682" spans="1:8" x14ac:dyDescent="0.2">
      <c r="A682" s="1" t="s">
        <v>409</v>
      </c>
      <c r="B682" t="s">
        <v>373</v>
      </c>
      <c r="C682" t="str">
        <f t="shared" si="16"/>
        <v>Educateur de jeunes enfants12</v>
      </c>
      <c r="D682" t="s">
        <v>410</v>
      </c>
      <c r="E682">
        <v>12</v>
      </c>
      <c r="G682">
        <v>571</v>
      </c>
      <c r="H682" s="1" t="s">
        <v>15</v>
      </c>
    </row>
    <row r="683" spans="1:8" x14ac:dyDescent="0.2">
      <c r="A683" s="1" t="s">
        <v>409</v>
      </c>
      <c r="B683" t="s">
        <v>373</v>
      </c>
      <c r="C683" t="str">
        <f t="shared" si="16"/>
        <v>Educateur de jeunes enfants13</v>
      </c>
      <c r="D683" t="s">
        <v>410</v>
      </c>
      <c r="E683">
        <v>13</v>
      </c>
      <c r="G683">
        <v>581</v>
      </c>
      <c r="H683" s="1" t="s">
        <v>15</v>
      </c>
    </row>
    <row r="684" spans="1:8" x14ac:dyDescent="0.2">
      <c r="A684" s="1" t="s">
        <v>409</v>
      </c>
      <c r="B684" t="s">
        <v>373</v>
      </c>
      <c r="C684" t="str">
        <f t="shared" si="16"/>
        <v>Educateur de jeunes enfants14</v>
      </c>
      <c r="D684" t="s">
        <v>410</v>
      </c>
      <c r="E684">
        <v>14</v>
      </c>
      <c r="G684">
        <v>597</v>
      </c>
      <c r="H684" s="1" t="s">
        <v>15</v>
      </c>
    </row>
    <row r="685" spans="1:8" x14ac:dyDescent="0.2">
      <c r="A685" s="1" t="s">
        <v>409</v>
      </c>
      <c r="B685" t="s">
        <v>373</v>
      </c>
      <c r="C685" t="str">
        <f t="shared" si="16"/>
        <v>Educateur de jeunes enfants de classe exceptionnelle1</v>
      </c>
      <c r="D685" t="s">
        <v>411</v>
      </c>
      <c r="E685">
        <v>1</v>
      </c>
      <c r="G685">
        <v>438</v>
      </c>
      <c r="H685" s="1" t="s">
        <v>15</v>
      </c>
    </row>
    <row r="686" spans="1:8" x14ac:dyDescent="0.2">
      <c r="A686" s="1" t="s">
        <v>409</v>
      </c>
      <c r="B686" t="s">
        <v>373</v>
      </c>
      <c r="C686" t="str">
        <f t="shared" si="16"/>
        <v>Educateur de jeunes enfants de classe exceptionnelle2</v>
      </c>
      <c r="D686" t="s">
        <v>411</v>
      </c>
      <c r="E686">
        <v>2</v>
      </c>
      <c r="G686">
        <v>453</v>
      </c>
      <c r="H686" s="1" t="s">
        <v>15</v>
      </c>
    </row>
    <row r="687" spans="1:8" x14ac:dyDescent="0.2">
      <c r="A687" s="1" t="s">
        <v>409</v>
      </c>
      <c r="B687" t="s">
        <v>373</v>
      </c>
      <c r="C687" t="str">
        <f t="shared" si="16"/>
        <v>Educateur de jeunes enfants de classe exceptionnelle3</v>
      </c>
      <c r="D687" t="s">
        <v>411</v>
      </c>
      <c r="E687">
        <v>3</v>
      </c>
      <c r="G687">
        <v>467</v>
      </c>
      <c r="H687" s="1" t="s">
        <v>15</v>
      </c>
    </row>
    <row r="688" spans="1:8" x14ac:dyDescent="0.2">
      <c r="A688" s="1" t="s">
        <v>409</v>
      </c>
      <c r="B688" t="s">
        <v>373</v>
      </c>
      <c r="C688" t="str">
        <f t="shared" si="16"/>
        <v>Educateur de jeunes enfants de classe exceptionnelle4</v>
      </c>
      <c r="D688" t="s">
        <v>411</v>
      </c>
      <c r="E688">
        <v>4</v>
      </c>
      <c r="G688">
        <v>483</v>
      </c>
      <c r="H688" s="1" t="s">
        <v>15</v>
      </c>
    </row>
    <row r="689" spans="1:8" x14ac:dyDescent="0.2">
      <c r="A689" s="1" t="s">
        <v>409</v>
      </c>
      <c r="B689" t="s">
        <v>373</v>
      </c>
      <c r="C689" t="str">
        <f t="shared" ref="C689:C752" si="17">D689&amp;E689</f>
        <v>Educateur de jeunes enfants de classe exceptionnelle5</v>
      </c>
      <c r="D689" t="s">
        <v>411</v>
      </c>
      <c r="E689">
        <v>5</v>
      </c>
      <c r="G689">
        <v>502</v>
      </c>
      <c r="H689" s="1" t="s">
        <v>15</v>
      </c>
    </row>
    <row r="690" spans="1:8" x14ac:dyDescent="0.2">
      <c r="A690" s="1" t="s">
        <v>409</v>
      </c>
      <c r="B690" t="s">
        <v>373</v>
      </c>
      <c r="C690" t="str">
        <f t="shared" si="17"/>
        <v>Educateur de jeunes enfants de classe exceptionnelle6</v>
      </c>
      <c r="D690" t="s">
        <v>411</v>
      </c>
      <c r="E690">
        <v>6</v>
      </c>
      <c r="G690">
        <v>527</v>
      </c>
      <c r="H690" s="1" t="s">
        <v>15</v>
      </c>
    </row>
    <row r="691" spans="1:8" x14ac:dyDescent="0.2">
      <c r="A691" s="1" t="s">
        <v>409</v>
      </c>
      <c r="B691" t="s">
        <v>373</v>
      </c>
      <c r="C691" t="str">
        <f t="shared" si="17"/>
        <v>Educateur de jeunes enfants de classe exceptionnelle7</v>
      </c>
      <c r="D691" t="s">
        <v>411</v>
      </c>
      <c r="E691">
        <v>7</v>
      </c>
      <c r="G691">
        <v>550</v>
      </c>
      <c r="H691" s="1" t="s">
        <v>15</v>
      </c>
    </row>
    <row r="692" spans="1:8" x14ac:dyDescent="0.2">
      <c r="A692" s="1" t="s">
        <v>409</v>
      </c>
      <c r="B692" t="s">
        <v>373</v>
      </c>
      <c r="C692" t="str">
        <f t="shared" si="17"/>
        <v>Educateur de jeunes enfants de classe exceptionnelle8</v>
      </c>
      <c r="D692" t="s">
        <v>411</v>
      </c>
      <c r="E692">
        <v>8</v>
      </c>
      <c r="G692">
        <v>571</v>
      </c>
      <c r="H692" s="1" t="s">
        <v>15</v>
      </c>
    </row>
    <row r="693" spans="1:8" x14ac:dyDescent="0.2">
      <c r="A693" s="1" t="s">
        <v>409</v>
      </c>
      <c r="B693" t="s">
        <v>373</v>
      </c>
      <c r="C693" t="str">
        <f t="shared" si="17"/>
        <v>Educateur de jeunes enfants de classe exceptionnelle9</v>
      </c>
      <c r="D693" t="s">
        <v>411</v>
      </c>
      <c r="E693">
        <v>9</v>
      </c>
      <c r="G693">
        <v>590</v>
      </c>
      <c r="H693" s="1" t="s">
        <v>15</v>
      </c>
    </row>
    <row r="694" spans="1:8" x14ac:dyDescent="0.2">
      <c r="A694" s="1" t="s">
        <v>409</v>
      </c>
      <c r="B694" t="s">
        <v>373</v>
      </c>
      <c r="C694" t="str">
        <f t="shared" si="17"/>
        <v>Educateur de jeunes enfants de classe exceptionnelle10</v>
      </c>
      <c r="D694" t="s">
        <v>411</v>
      </c>
      <c r="E694">
        <v>10</v>
      </c>
      <c r="G694">
        <v>610</v>
      </c>
      <c r="H694" s="1" t="s">
        <v>15</v>
      </c>
    </row>
    <row r="695" spans="1:8" x14ac:dyDescent="0.2">
      <c r="A695" s="1" t="s">
        <v>409</v>
      </c>
      <c r="B695" t="s">
        <v>373</v>
      </c>
      <c r="C695" t="str">
        <f t="shared" si="17"/>
        <v>Educateur de jeunes enfants de classe exceptionnelle11</v>
      </c>
      <c r="D695" t="s">
        <v>411</v>
      </c>
      <c r="E695">
        <v>11</v>
      </c>
      <c r="G695">
        <v>632</v>
      </c>
      <c r="H695" s="1" t="s">
        <v>15</v>
      </c>
    </row>
    <row r="696" spans="1:8" x14ac:dyDescent="0.2">
      <c r="A696" s="1" t="s">
        <v>409</v>
      </c>
      <c r="B696" t="s">
        <v>376</v>
      </c>
      <c r="C696" t="str">
        <f t="shared" si="17"/>
        <v>Assistant socio-éducatif1</v>
      </c>
      <c r="D696" t="s">
        <v>400</v>
      </c>
      <c r="E696">
        <v>1</v>
      </c>
      <c r="G696">
        <v>395</v>
      </c>
      <c r="H696" s="1" t="s">
        <v>15</v>
      </c>
    </row>
    <row r="697" spans="1:8" x14ac:dyDescent="0.2">
      <c r="A697" s="1" t="s">
        <v>409</v>
      </c>
      <c r="B697" t="s">
        <v>376</v>
      </c>
      <c r="C697" t="str">
        <f t="shared" si="17"/>
        <v>Assistant socio-éducatif2</v>
      </c>
      <c r="D697" t="s">
        <v>400</v>
      </c>
      <c r="E697">
        <v>2</v>
      </c>
      <c r="G697">
        <v>409</v>
      </c>
      <c r="H697" s="1" t="s">
        <v>15</v>
      </c>
    </row>
    <row r="698" spans="1:8" x14ac:dyDescent="0.2">
      <c r="A698" s="1" t="s">
        <v>409</v>
      </c>
      <c r="B698" t="s">
        <v>376</v>
      </c>
      <c r="C698" t="str">
        <f t="shared" si="17"/>
        <v>Assistant socio-éducatif3</v>
      </c>
      <c r="D698" t="s">
        <v>400</v>
      </c>
      <c r="E698">
        <v>3</v>
      </c>
      <c r="G698">
        <v>420</v>
      </c>
      <c r="H698" s="1" t="s">
        <v>15</v>
      </c>
    </row>
    <row r="699" spans="1:8" x14ac:dyDescent="0.2">
      <c r="A699" s="1" t="s">
        <v>409</v>
      </c>
      <c r="B699" t="s">
        <v>376</v>
      </c>
      <c r="C699" t="str">
        <f t="shared" si="17"/>
        <v>Assistant socio-éducatif4</v>
      </c>
      <c r="D699" t="s">
        <v>400</v>
      </c>
      <c r="E699">
        <v>4</v>
      </c>
      <c r="G699">
        <v>431</v>
      </c>
      <c r="H699" s="1" t="s">
        <v>15</v>
      </c>
    </row>
    <row r="700" spans="1:8" x14ac:dyDescent="0.2">
      <c r="A700" s="1" t="s">
        <v>409</v>
      </c>
      <c r="B700" t="s">
        <v>376</v>
      </c>
      <c r="C700" t="str">
        <f t="shared" si="17"/>
        <v>Assistant socio-éducatif5</v>
      </c>
      <c r="D700" t="s">
        <v>400</v>
      </c>
      <c r="E700">
        <v>5</v>
      </c>
      <c r="G700">
        <v>445</v>
      </c>
      <c r="H700" s="1" t="s">
        <v>15</v>
      </c>
    </row>
    <row r="701" spans="1:8" x14ac:dyDescent="0.2">
      <c r="A701" s="1" t="s">
        <v>409</v>
      </c>
      <c r="B701" t="s">
        <v>376</v>
      </c>
      <c r="C701" t="str">
        <f t="shared" si="17"/>
        <v>Assistant socio-éducatif6</v>
      </c>
      <c r="D701" t="s">
        <v>400</v>
      </c>
      <c r="E701">
        <v>6</v>
      </c>
      <c r="G701">
        <v>457</v>
      </c>
      <c r="H701" s="1" t="s">
        <v>15</v>
      </c>
    </row>
    <row r="702" spans="1:8" x14ac:dyDescent="0.2">
      <c r="A702" s="1" t="s">
        <v>409</v>
      </c>
      <c r="B702" t="s">
        <v>376</v>
      </c>
      <c r="C702" t="str">
        <f t="shared" si="17"/>
        <v>Assistant socio-éducatif7</v>
      </c>
      <c r="D702" t="s">
        <v>400</v>
      </c>
      <c r="E702">
        <v>7</v>
      </c>
      <c r="G702">
        <v>470</v>
      </c>
      <c r="H702" s="1" t="s">
        <v>15</v>
      </c>
    </row>
    <row r="703" spans="1:8" x14ac:dyDescent="0.2">
      <c r="A703" s="1" t="s">
        <v>409</v>
      </c>
      <c r="B703" t="s">
        <v>376</v>
      </c>
      <c r="C703" t="str">
        <f t="shared" si="17"/>
        <v>Assistant socio-éducatif8</v>
      </c>
      <c r="D703" t="s">
        <v>400</v>
      </c>
      <c r="E703">
        <v>8</v>
      </c>
      <c r="G703">
        <v>487</v>
      </c>
      <c r="H703" s="1" t="s">
        <v>15</v>
      </c>
    </row>
    <row r="704" spans="1:8" x14ac:dyDescent="0.2">
      <c r="A704" s="1" t="s">
        <v>409</v>
      </c>
      <c r="B704" t="s">
        <v>376</v>
      </c>
      <c r="C704" t="str">
        <f t="shared" si="17"/>
        <v>Assistant socio-éducatif9</v>
      </c>
      <c r="D704" t="s">
        <v>400</v>
      </c>
      <c r="E704">
        <v>9</v>
      </c>
      <c r="G704">
        <v>507</v>
      </c>
      <c r="H704" s="1" t="s">
        <v>15</v>
      </c>
    </row>
    <row r="705" spans="1:8" x14ac:dyDescent="0.2">
      <c r="A705" s="1" t="s">
        <v>409</v>
      </c>
      <c r="B705" t="s">
        <v>376</v>
      </c>
      <c r="C705" t="str">
        <f t="shared" si="17"/>
        <v>Assistant socio-éducatif10</v>
      </c>
      <c r="D705" t="s">
        <v>400</v>
      </c>
      <c r="E705">
        <v>10</v>
      </c>
      <c r="G705">
        <v>528</v>
      </c>
      <c r="H705" s="1" t="s">
        <v>15</v>
      </c>
    </row>
    <row r="706" spans="1:8" x14ac:dyDescent="0.2">
      <c r="A706" s="1" t="s">
        <v>409</v>
      </c>
      <c r="B706" t="s">
        <v>376</v>
      </c>
      <c r="C706" t="str">
        <f t="shared" si="17"/>
        <v>Assistant socio-éducatif11</v>
      </c>
      <c r="D706" t="s">
        <v>400</v>
      </c>
      <c r="E706">
        <v>11</v>
      </c>
      <c r="G706">
        <v>551</v>
      </c>
      <c r="H706" s="1" t="s">
        <v>15</v>
      </c>
    </row>
    <row r="707" spans="1:8" x14ac:dyDescent="0.2">
      <c r="A707" s="1" t="s">
        <v>409</v>
      </c>
      <c r="B707" t="s">
        <v>376</v>
      </c>
      <c r="C707" t="str">
        <f t="shared" si="17"/>
        <v>Assistant socio-éducatif12</v>
      </c>
      <c r="D707" t="s">
        <v>400</v>
      </c>
      <c r="E707">
        <v>12</v>
      </c>
      <c r="G707">
        <v>571</v>
      </c>
      <c r="H707" s="1" t="s">
        <v>15</v>
      </c>
    </row>
    <row r="708" spans="1:8" x14ac:dyDescent="0.2">
      <c r="A708" s="1" t="s">
        <v>409</v>
      </c>
      <c r="B708" t="s">
        <v>376</v>
      </c>
      <c r="C708" t="str">
        <f t="shared" si="17"/>
        <v>Assistant socio-éducatif13</v>
      </c>
      <c r="D708" t="s">
        <v>400</v>
      </c>
      <c r="E708">
        <v>13</v>
      </c>
      <c r="G708">
        <v>581</v>
      </c>
      <c r="H708" s="1" t="s">
        <v>15</v>
      </c>
    </row>
    <row r="709" spans="1:8" x14ac:dyDescent="0.2">
      <c r="A709" s="1" t="s">
        <v>409</v>
      </c>
      <c r="B709" t="s">
        <v>376</v>
      </c>
      <c r="C709" t="str">
        <f t="shared" si="17"/>
        <v>Assistant socio-éducatif14</v>
      </c>
      <c r="D709" t="s">
        <v>400</v>
      </c>
      <c r="E709">
        <v>14</v>
      </c>
      <c r="G709">
        <v>597</v>
      </c>
      <c r="H709" s="1" t="s">
        <v>15</v>
      </c>
    </row>
    <row r="710" spans="1:8" x14ac:dyDescent="0.2">
      <c r="A710" s="1" t="s">
        <v>409</v>
      </c>
      <c r="B710" t="s">
        <v>376</v>
      </c>
      <c r="C710" t="str">
        <f t="shared" si="17"/>
        <v>Assistant socio-éducatif de classe exceptionnelle1</v>
      </c>
      <c r="D710" t="s">
        <v>399</v>
      </c>
      <c r="E710">
        <v>1</v>
      </c>
      <c r="G710">
        <v>438</v>
      </c>
      <c r="H710" s="1" t="s">
        <v>15</v>
      </c>
    </row>
    <row r="711" spans="1:8" x14ac:dyDescent="0.2">
      <c r="A711" s="1" t="s">
        <v>409</v>
      </c>
      <c r="B711" t="s">
        <v>376</v>
      </c>
      <c r="C711" t="str">
        <f t="shared" si="17"/>
        <v>Assistant socio-éducatif de classe exceptionnelle2</v>
      </c>
      <c r="D711" t="s">
        <v>399</v>
      </c>
      <c r="E711">
        <v>2</v>
      </c>
      <c r="G711">
        <v>453</v>
      </c>
      <c r="H711" s="1" t="s">
        <v>15</v>
      </c>
    </row>
    <row r="712" spans="1:8" x14ac:dyDescent="0.2">
      <c r="A712" s="1" t="s">
        <v>409</v>
      </c>
      <c r="B712" t="s">
        <v>376</v>
      </c>
      <c r="C712" t="str">
        <f t="shared" si="17"/>
        <v>Assistant socio-éducatif de classe exceptionnelle3</v>
      </c>
      <c r="D712" t="s">
        <v>399</v>
      </c>
      <c r="E712">
        <v>3</v>
      </c>
      <c r="G712">
        <v>467</v>
      </c>
      <c r="H712" s="1" t="s">
        <v>15</v>
      </c>
    </row>
    <row r="713" spans="1:8" x14ac:dyDescent="0.2">
      <c r="A713" s="1" t="s">
        <v>409</v>
      </c>
      <c r="B713" t="s">
        <v>376</v>
      </c>
      <c r="C713" t="str">
        <f t="shared" si="17"/>
        <v>Assistant socio-éducatif de classe exceptionnelle4</v>
      </c>
      <c r="D713" t="s">
        <v>399</v>
      </c>
      <c r="E713">
        <v>4</v>
      </c>
      <c r="G713">
        <v>483</v>
      </c>
      <c r="H713" s="1" t="s">
        <v>15</v>
      </c>
    </row>
    <row r="714" spans="1:8" x14ac:dyDescent="0.2">
      <c r="A714" s="1" t="s">
        <v>409</v>
      </c>
      <c r="B714" t="s">
        <v>376</v>
      </c>
      <c r="C714" t="str">
        <f t="shared" si="17"/>
        <v>Assistant socio-éducatif de classe exceptionnelle5</v>
      </c>
      <c r="D714" t="s">
        <v>399</v>
      </c>
      <c r="E714">
        <v>5</v>
      </c>
      <c r="G714">
        <v>502</v>
      </c>
      <c r="H714" s="1" t="s">
        <v>15</v>
      </c>
    </row>
    <row r="715" spans="1:8" x14ac:dyDescent="0.2">
      <c r="A715" s="1" t="s">
        <v>409</v>
      </c>
      <c r="B715" t="s">
        <v>376</v>
      </c>
      <c r="C715" t="str">
        <f t="shared" si="17"/>
        <v>Assistant socio-éducatif de classe exceptionnelle6</v>
      </c>
      <c r="D715" t="s">
        <v>399</v>
      </c>
      <c r="E715">
        <v>6</v>
      </c>
      <c r="G715">
        <v>527</v>
      </c>
      <c r="H715" s="1" t="s">
        <v>15</v>
      </c>
    </row>
    <row r="716" spans="1:8" x14ac:dyDescent="0.2">
      <c r="A716" s="1" t="s">
        <v>409</v>
      </c>
      <c r="B716" t="s">
        <v>376</v>
      </c>
      <c r="C716" t="str">
        <f t="shared" si="17"/>
        <v>Assistant socio-éducatif de classe exceptionnelle7</v>
      </c>
      <c r="D716" t="s">
        <v>399</v>
      </c>
      <c r="E716">
        <v>7</v>
      </c>
      <c r="G716">
        <v>550</v>
      </c>
      <c r="H716" s="1" t="s">
        <v>15</v>
      </c>
    </row>
    <row r="717" spans="1:8" x14ac:dyDescent="0.2">
      <c r="A717" s="1" t="s">
        <v>409</v>
      </c>
      <c r="B717" t="s">
        <v>376</v>
      </c>
      <c r="C717" t="str">
        <f t="shared" si="17"/>
        <v>Assistant socio-éducatif de classe exceptionnelle8</v>
      </c>
      <c r="D717" t="s">
        <v>399</v>
      </c>
      <c r="E717">
        <v>8</v>
      </c>
      <c r="G717">
        <v>571</v>
      </c>
      <c r="H717" s="1" t="s">
        <v>15</v>
      </c>
    </row>
    <row r="718" spans="1:8" x14ac:dyDescent="0.2">
      <c r="A718" s="1" t="s">
        <v>409</v>
      </c>
      <c r="B718" t="s">
        <v>376</v>
      </c>
      <c r="C718" t="str">
        <f t="shared" si="17"/>
        <v>Assistant socio-éducatif de classe exceptionnelle9</v>
      </c>
      <c r="D718" t="s">
        <v>399</v>
      </c>
      <c r="E718">
        <v>9</v>
      </c>
      <c r="G718">
        <v>590</v>
      </c>
      <c r="H718" s="1" t="s">
        <v>15</v>
      </c>
    </row>
    <row r="719" spans="1:8" x14ac:dyDescent="0.2">
      <c r="A719" s="1" t="s">
        <v>409</v>
      </c>
      <c r="B719" t="s">
        <v>376</v>
      </c>
      <c r="C719" t="str">
        <f t="shared" si="17"/>
        <v>Assistant socio-éducatif de classe exceptionnelle10</v>
      </c>
      <c r="D719" t="s">
        <v>399</v>
      </c>
      <c r="E719">
        <v>10</v>
      </c>
      <c r="G719">
        <v>610</v>
      </c>
      <c r="H719" s="1" t="s">
        <v>15</v>
      </c>
    </row>
    <row r="720" spans="1:8" x14ac:dyDescent="0.2">
      <c r="A720" s="1" t="s">
        <v>409</v>
      </c>
      <c r="B720" t="s">
        <v>376</v>
      </c>
      <c r="C720" t="str">
        <f t="shared" si="17"/>
        <v>Assistant socio-éducatif de classe exceptionnelle11</v>
      </c>
      <c r="D720" t="s">
        <v>399</v>
      </c>
      <c r="E720">
        <v>11</v>
      </c>
      <c r="G720">
        <v>632</v>
      </c>
      <c r="H720" s="1" t="s">
        <v>15</v>
      </c>
    </row>
    <row r="721" spans="1:8" x14ac:dyDescent="0.2">
      <c r="A721" s="1" t="s">
        <v>409</v>
      </c>
      <c r="B721" t="s">
        <v>374</v>
      </c>
      <c r="C721" t="str">
        <f t="shared" si="17"/>
        <v>Aide soignant de classe normale1</v>
      </c>
      <c r="D721" t="s">
        <v>396</v>
      </c>
      <c r="E721">
        <v>1</v>
      </c>
      <c r="F721">
        <v>389</v>
      </c>
      <c r="G721">
        <v>373</v>
      </c>
      <c r="H721" s="1" t="s">
        <v>8</v>
      </c>
    </row>
    <row r="722" spans="1:8" x14ac:dyDescent="0.2">
      <c r="A722" s="1" t="s">
        <v>409</v>
      </c>
      <c r="B722" t="s">
        <v>374</v>
      </c>
      <c r="C722" t="str">
        <f t="shared" si="17"/>
        <v>Aide soignant de classe normale2</v>
      </c>
      <c r="D722" t="s">
        <v>396</v>
      </c>
      <c r="E722">
        <v>2</v>
      </c>
      <c r="F722">
        <v>397</v>
      </c>
      <c r="G722">
        <v>375</v>
      </c>
      <c r="H722" s="1" t="s">
        <v>8</v>
      </c>
    </row>
    <row r="723" spans="1:8" x14ac:dyDescent="0.2">
      <c r="A723" s="1" t="s">
        <v>409</v>
      </c>
      <c r="B723" t="s">
        <v>374</v>
      </c>
      <c r="C723" t="str">
        <f t="shared" si="17"/>
        <v>Aide soignant de classe normale3</v>
      </c>
      <c r="D723" t="s">
        <v>396</v>
      </c>
      <c r="E723">
        <v>3</v>
      </c>
      <c r="F723">
        <v>416</v>
      </c>
      <c r="G723">
        <v>377</v>
      </c>
      <c r="H723" s="1" t="s">
        <v>8</v>
      </c>
    </row>
    <row r="724" spans="1:8" x14ac:dyDescent="0.2">
      <c r="A724" s="1" t="s">
        <v>409</v>
      </c>
      <c r="B724" t="s">
        <v>374</v>
      </c>
      <c r="C724" t="str">
        <f t="shared" si="17"/>
        <v>Aide soignant de classe normale4</v>
      </c>
      <c r="D724" t="s">
        <v>396</v>
      </c>
      <c r="E724">
        <v>4</v>
      </c>
      <c r="F724">
        <v>434</v>
      </c>
      <c r="G724">
        <v>388</v>
      </c>
      <c r="H724" s="1" t="s">
        <v>8</v>
      </c>
    </row>
    <row r="725" spans="1:8" x14ac:dyDescent="0.2">
      <c r="A725" s="1" t="s">
        <v>409</v>
      </c>
      <c r="B725" t="s">
        <v>374</v>
      </c>
      <c r="C725" t="str">
        <f t="shared" si="17"/>
        <v>Aide soignant de classe normale5</v>
      </c>
      <c r="D725" t="s">
        <v>396</v>
      </c>
      <c r="E725">
        <v>5</v>
      </c>
      <c r="F725">
        <v>452</v>
      </c>
      <c r="G725">
        <v>401</v>
      </c>
      <c r="H725" s="1" t="s">
        <v>8</v>
      </c>
    </row>
    <row r="726" spans="1:8" x14ac:dyDescent="0.2">
      <c r="A726" s="1" t="s">
        <v>409</v>
      </c>
      <c r="B726" t="s">
        <v>374</v>
      </c>
      <c r="C726" t="str">
        <f t="shared" si="17"/>
        <v>Aide soignant de classe normale6</v>
      </c>
      <c r="D726" t="s">
        <v>396</v>
      </c>
      <c r="E726">
        <v>6</v>
      </c>
      <c r="F726">
        <v>468</v>
      </c>
      <c r="G726">
        <v>414</v>
      </c>
      <c r="H726" s="1" t="s">
        <v>8</v>
      </c>
    </row>
    <row r="727" spans="1:8" x14ac:dyDescent="0.2">
      <c r="A727" s="1" t="s">
        <v>409</v>
      </c>
      <c r="B727" t="s">
        <v>374</v>
      </c>
      <c r="C727" t="str">
        <f t="shared" si="17"/>
        <v>Aide soignant de classe normale7</v>
      </c>
      <c r="D727" t="s">
        <v>396</v>
      </c>
      <c r="E727">
        <v>7</v>
      </c>
      <c r="F727">
        <v>491</v>
      </c>
      <c r="G727">
        <v>429</v>
      </c>
      <c r="H727" s="1" t="s">
        <v>8</v>
      </c>
    </row>
    <row r="728" spans="1:8" x14ac:dyDescent="0.2">
      <c r="A728" s="1" t="s">
        <v>409</v>
      </c>
      <c r="B728" t="s">
        <v>374</v>
      </c>
      <c r="C728" t="str">
        <f t="shared" si="17"/>
        <v>Aide soignant de classe normale8</v>
      </c>
      <c r="D728" t="s">
        <v>396</v>
      </c>
      <c r="E728">
        <v>8</v>
      </c>
      <c r="F728">
        <v>510</v>
      </c>
      <c r="G728">
        <v>444</v>
      </c>
      <c r="H728" s="1" t="s">
        <v>8</v>
      </c>
    </row>
    <row r="729" spans="1:8" x14ac:dyDescent="0.2">
      <c r="A729" s="1" t="s">
        <v>409</v>
      </c>
      <c r="B729" t="s">
        <v>374</v>
      </c>
      <c r="C729" t="str">
        <f t="shared" si="17"/>
        <v>Aide soignant de classe normale9</v>
      </c>
      <c r="D729" t="s">
        <v>396</v>
      </c>
      <c r="E729">
        <v>9</v>
      </c>
      <c r="F729">
        <v>535</v>
      </c>
      <c r="G729">
        <v>461</v>
      </c>
      <c r="H729" s="1" t="s">
        <v>8</v>
      </c>
    </row>
    <row r="730" spans="1:8" x14ac:dyDescent="0.2">
      <c r="A730" s="1" t="s">
        <v>409</v>
      </c>
      <c r="B730" t="s">
        <v>374</v>
      </c>
      <c r="C730" t="str">
        <f t="shared" si="17"/>
        <v>Aide soignant de classe normale10</v>
      </c>
      <c r="D730" t="s">
        <v>396</v>
      </c>
      <c r="E730">
        <v>10</v>
      </c>
      <c r="F730">
        <v>567</v>
      </c>
      <c r="G730">
        <v>485</v>
      </c>
      <c r="H730" s="1" t="s">
        <v>8</v>
      </c>
    </row>
    <row r="731" spans="1:8" x14ac:dyDescent="0.2">
      <c r="A731" s="1" t="s">
        <v>409</v>
      </c>
      <c r="B731" t="s">
        <v>374</v>
      </c>
      <c r="C731" t="str">
        <f t="shared" si="17"/>
        <v>Aide soignant de classe normale11</v>
      </c>
      <c r="D731" t="s">
        <v>396</v>
      </c>
      <c r="E731">
        <v>11</v>
      </c>
      <c r="F731">
        <v>610</v>
      </c>
      <c r="G731">
        <v>517</v>
      </c>
      <c r="H731" s="1" t="s">
        <v>8</v>
      </c>
    </row>
    <row r="732" spans="1:8" x14ac:dyDescent="0.2">
      <c r="A732" s="1" t="s">
        <v>409</v>
      </c>
      <c r="B732" t="s">
        <v>374</v>
      </c>
      <c r="C732" t="str">
        <f t="shared" si="17"/>
        <v>Aide soignant de classe supérieure1</v>
      </c>
      <c r="D732" t="s">
        <v>395</v>
      </c>
      <c r="E732">
        <v>1</v>
      </c>
      <c r="F732">
        <v>433</v>
      </c>
      <c r="G732">
        <v>387</v>
      </c>
      <c r="H732" s="1" t="s">
        <v>8</v>
      </c>
    </row>
    <row r="733" spans="1:8" x14ac:dyDescent="0.2">
      <c r="A733" s="1" t="s">
        <v>409</v>
      </c>
      <c r="B733" t="s">
        <v>374</v>
      </c>
      <c r="C733" t="str">
        <f t="shared" si="17"/>
        <v>Aide soignant de classe supérieure2</v>
      </c>
      <c r="D733" t="s">
        <v>395</v>
      </c>
      <c r="E733">
        <v>2</v>
      </c>
      <c r="F733">
        <v>449</v>
      </c>
      <c r="G733">
        <v>399</v>
      </c>
      <c r="H733" s="1" t="s">
        <v>8</v>
      </c>
    </row>
    <row r="734" spans="1:8" x14ac:dyDescent="0.2">
      <c r="A734" s="1" t="s">
        <v>409</v>
      </c>
      <c r="B734" t="s">
        <v>374</v>
      </c>
      <c r="C734" t="str">
        <f t="shared" si="17"/>
        <v>Aide soignant de classe supérieure3</v>
      </c>
      <c r="D734" t="s">
        <v>395</v>
      </c>
      <c r="E734">
        <v>3</v>
      </c>
      <c r="F734">
        <v>464</v>
      </c>
      <c r="G734">
        <v>411</v>
      </c>
      <c r="H734" s="1" t="s">
        <v>8</v>
      </c>
    </row>
    <row r="735" spans="1:8" x14ac:dyDescent="0.2">
      <c r="A735" s="1" t="s">
        <v>409</v>
      </c>
      <c r="B735" t="s">
        <v>374</v>
      </c>
      <c r="C735" t="str">
        <f t="shared" si="17"/>
        <v>Aide soignant de classe supérieure4</v>
      </c>
      <c r="D735" t="s">
        <v>395</v>
      </c>
      <c r="E735">
        <v>4</v>
      </c>
      <c r="F735">
        <v>484</v>
      </c>
      <c r="G735">
        <v>424</v>
      </c>
      <c r="H735" s="1" t="s">
        <v>8</v>
      </c>
    </row>
    <row r="736" spans="1:8" x14ac:dyDescent="0.2">
      <c r="A736" s="1" t="s">
        <v>409</v>
      </c>
      <c r="B736" t="s">
        <v>374</v>
      </c>
      <c r="C736" t="str">
        <f t="shared" si="17"/>
        <v>Aide soignant de classe supérieure5</v>
      </c>
      <c r="D736" t="s">
        <v>395</v>
      </c>
      <c r="E736">
        <v>5</v>
      </c>
      <c r="F736">
        <v>508</v>
      </c>
      <c r="G736">
        <v>442</v>
      </c>
      <c r="H736" s="1" t="s">
        <v>8</v>
      </c>
    </row>
    <row r="737" spans="1:8" x14ac:dyDescent="0.2">
      <c r="A737" s="1" t="s">
        <v>409</v>
      </c>
      <c r="B737" t="s">
        <v>374</v>
      </c>
      <c r="C737" t="str">
        <f t="shared" si="17"/>
        <v>Aide soignant de classe supérieure6</v>
      </c>
      <c r="D737" t="s">
        <v>395</v>
      </c>
      <c r="E737">
        <v>6</v>
      </c>
      <c r="F737">
        <v>532</v>
      </c>
      <c r="G737">
        <v>460</v>
      </c>
      <c r="H737" s="1" t="s">
        <v>8</v>
      </c>
    </row>
    <row r="738" spans="1:8" x14ac:dyDescent="0.2">
      <c r="A738" s="1" t="s">
        <v>409</v>
      </c>
      <c r="B738" t="s">
        <v>374</v>
      </c>
      <c r="C738" t="str">
        <f t="shared" si="17"/>
        <v>Aide soignant de classe supérieure7</v>
      </c>
      <c r="D738" t="s">
        <v>395</v>
      </c>
      <c r="E738">
        <v>7</v>
      </c>
      <c r="F738">
        <v>568</v>
      </c>
      <c r="G738">
        <v>486</v>
      </c>
      <c r="H738" s="1" t="s">
        <v>8</v>
      </c>
    </row>
    <row r="739" spans="1:8" x14ac:dyDescent="0.2">
      <c r="A739" s="1" t="s">
        <v>409</v>
      </c>
      <c r="B739" t="s">
        <v>374</v>
      </c>
      <c r="C739" t="str">
        <f t="shared" si="17"/>
        <v>Aide soignant de classe supérieure8</v>
      </c>
      <c r="D739" t="s">
        <v>395</v>
      </c>
      <c r="E739">
        <v>8</v>
      </c>
      <c r="F739">
        <v>585</v>
      </c>
      <c r="G739">
        <v>499</v>
      </c>
      <c r="H739" s="1" t="s">
        <v>8</v>
      </c>
    </row>
    <row r="740" spans="1:8" x14ac:dyDescent="0.2">
      <c r="A740" s="1" t="s">
        <v>409</v>
      </c>
      <c r="B740" t="s">
        <v>374</v>
      </c>
      <c r="C740" t="str">
        <f t="shared" si="17"/>
        <v>Aide soignant de classe supérieure9</v>
      </c>
      <c r="D740" t="s">
        <v>395</v>
      </c>
      <c r="E740">
        <v>9</v>
      </c>
      <c r="F740">
        <v>612</v>
      </c>
      <c r="G740">
        <v>519</v>
      </c>
      <c r="H740" s="1" t="s">
        <v>8</v>
      </c>
    </row>
    <row r="741" spans="1:8" x14ac:dyDescent="0.2">
      <c r="A741" s="1" t="s">
        <v>409</v>
      </c>
      <c r="B741" t="s">
        <v>374</v>
      </c>
      <c r="C741" t="str">
        <f t="shared" si="17"/>
        <v>Aide soignant de classe supérieure10</v>
      </c>
      <c r="D741" t="s">
        <v>395</v>
      </c>
      <c r="E741">
        <v>10</v>
      </c>
      <c r="F741">
        <v>638</v>
      </c>
      <c r="G741">
        <v>539</v>
      </c>
      <c r="H741" s="1" t="s">
        <v>8</v>
      </c>
    </row>
    <row r="742" spans="1:8" x14ac:dyDescent="0.2">
      <c r="A742" s="1" t="s">
        <v>409</v>
      </c>
      <c r="B742" t="s">
        <v>374</v>
      </c>
      <c r="C742" t="str">
        <f t="shared" si="17"/>
        <v>Aide soignant de classe supérieure11</v>
      </c>
      <c r="D742" t="s">
        <v>395</v>
      </c>
      <c r="E742">
        <v>11</v>
      </c>
      <c r="F742">
        <v>665</v>
      </c>
      <c r="G742">
        <v>560</v>
      </c>
      <c r="H742" s="1" t="s">
        <v>8</v>
      </c>
    </row>
    <row r="743" spans="1:8" x14ac:dyDescent="0.2">
      <c r="A743" s="1" t="s">
        <v>409</v>
      </c>
      <c r="B743" t="s">
        <v>375</v>
      </c>
      <c r="C743" t="str">
        <f t="shared" si="17"/>
        <v>Auxiliaire de puériculture de classe normale1</v>
      </c>
      <c r="D743" t="s">
        <v>398</v>
      </c>
      <c r="E743">
        <v>1</v>
      </c>
      <c r="F743">
        <v>389</v>
      </c>
      <c r="G743">
        <v>373</v>
      </c>
      <c r="H743" s="1" t="s">
        <v>8</v>
      </c>
    </row>
    <row r="744" spans="1:8" x14ac:dyDescent="0.2">
      <c r="A744" s="1" t="s">
        <v>409</v>
      </c>
      <c r="B744" t="s">
        <v>375</v>
      </c>
      <c r="C744" t="str">
        <f t="shared" si="17"/>
        <v>Auxiliaire de puériculture de classe normale2</v>
      </c>
      <c r="D744" t="s">
        <v>398</v>
      </c>
      <c r="E744">
        <v>2</v>
      </c>
      <c r="F744">
        <v>397</v>
      </c>
      <c r="G744">
        <v>375</v>
      </c>
      <c r="H744" s="1" t="s">
        <v>8</v>
      </c>
    </row>
    <row r="745" spans="1:8" x14ac:dyDescent="0.2">
      <c r="A745" s="1" t="s">
        <v>409</v>
      </c>
      <c r="B745" t="s">
        <v>375</v>
      </c>
      <c r="C745" t="str">
        <f t="shared" si="17"/>
        <v>Auxiliaire de puériculture de classe normale3</v>
      </c>
      <c r="D745" t="s">
        <v>398</v>
      </c>
      <c r="E745">
        <v>3</v>
      </c>
      <c r="F745">
        <v>416</v>
      </c>
      <c r="G745">
        <v>377</v>
      </c>
      <c r="H745" s="1" t="s">
        <v>8</v>
      </c>
    </row>
    <row r="746" spans="1:8" x14ac:dyDescent="0.2">
      <c r="A746" s="1" t="s">
        <v>409</v>
      </c>
      <c r="B746" t="s">
        <v>375</v>
      </c>
      <c r="C746" t="str">
        <f t="shared" si="17"/>
        <v>Auxiliaire de puériculture de classe normale4</v>
      </c>
      <c r="D746" t="s">
        <v>398</v>
      </c>
      <c r="E746">
        <v>4</v>
      </c>
      <c r="F746">
        <v>434</v>
      </c>
      <c r="G746">
        <v>388</v>
      </c>
      <c r="H746" s="1" t="s">
        <v>8</v>
      </c>
    </row>
    <row r="747" spans="1:8" x14ac:dyDescent="0.2">
      <c r="A747" s="1" t="s">
        <v>409</v>
      </c>
      <c r="B747" t="s">
        <v>375</v>
      </c>
      <c r="C747" t="str">
        <f t="shared" si="17"/>
        <v>Auxiliaire de puériculture de classe normale5</v>
      </c>
      <c r="D747" t="s">
        <v>398</v>
      </c>
      <c r="E747">
        <v>5</v>
      </c>
      <c r="F747">
        <v>452</v>
      </c>
      <c r="G747">
        <v>401</v>
      </c>
      <c r="H747" s="1" t="s">
        <v>8</v>
      </c>
    </row>
    <row r="748" spans="1:8" x14ac:dyDescent="0.2">
      <c r="A748" s="1" t="s">
        <v>409</v>
      </c>
      <c r="B748" t="s">
        <v>375</v>
      </c>
      <c r="C748" t="str">
        <f t="shared" si="17"/>
        <v>Auxiliaire de puériculture de classe normale6</v>
      </c>
      <c r="D748" t="s">
        <v>398</v>
      </c>
      <c r="E748">
        <v>6</v>
      </c>
      <c r="F748">
        <v>468</v>
      </c>
      <c r="G748">
        <v>414</v>
      </c>
      <c r="H748" s="1" t="s">
        <v>8</v>
      </c>
    </row>
    <row r="749" spans="1:8" x14ac:dyDescent="0.2">
      <c r="A749" s="1" t="s">
        <v>409</v>
      </c>
      <c r="B749" t="s">
        <v>375</v>
      </c>
      <c r="C749" t="str">
        <f t="shared" si="17"/>
        <v>Auxiliaire de puériculture de classe normale7</v>
      </c>
      <c r="D749" t="s">
        <v>398</v>
      </c>
      <c r="E749">
        <v>7</v>
      </c>
      <c r="F749">
        <v>491</v>
      </c>
      <c r="G749">
        <v>429</v>
      </c>
      <c r="H749" s="1" t="s">
        <v>8</v>
      </c>
    </row>
    <row r="750" spans="1:8" x14ac:dyDescent="0.2">
      <c r="A750" s="1" t="s">
        <v>409</v>
      </c>
      <c r="B750" t="s">
        <v>375</v>
      </c>
      <c r="C750" t="str">
        <f t="shared" si="17"/>
        <v>Auxiliaire de puériculture de classe normale8</v>
      </c>
      <c r="D750" t="s">
        <v>398</v>
      </c>
      <c r="E750">
        <v>8</v>
      </c>
      <c r="F750">
        <v>510</v>
      </c>
      <c r="G750">
        <v>444</v>
      </c>
      <c r="H750" s="1" t="s">
        <v>8</v>
      </c>
    </row>
    <row r="751" spans="1:8" x14ac:dyDescent="0.2">
      <c r="A751" s="1" t="s">
        <v>409</v>
      </c>
      <c r="B751" t="s">
        <v>375</v>
      </c>
      <c r="C751" t="str">
        <f t="shared" si="17"/>
        <v>Auxiliaire de puériculture de classe normale9</v>
      </c>
      <c r="D751" t="s">
        <v>398</v>
      </c>
      <c r="E751">
        <v>9</v>
      </c>
      <c r="F751">
        <v>535</v>
      </c>
      <c r="G751">
        <v>461</v>
      </c>
      <c r="H751" s="1" t="s">
        <v>8</v>
      </c>
    </row>
    <row r="752" spans="1:8" x14ac:dyDescent="0.2">
      <c r="A752" s="1" t="s">
        <v>409</v>
      </c>
      <c r="B752" t="s">
        <v>375</v>
      </c>
      <c r="C752" t="str">
        <f t="shared" si="17"/>
        <v>Auxiliaire de puériculture de classe normale10</v>
      </c>
      <c r="D752" t="s">
        <v>398</v>
      </c>
      <c r="E752">
        <v>10</v>
      </c>
      <c r="F752">
        <v>567</v>
      </c>
      <c r="G752">
        <v>485</v>
      </c>
      <c r="H752" s="1" t="s">
        <v>8</v>
      </c>
    </row>
    <row r="753" spans="1:8" x14ac:dyDescent="0.2">
      <c r="A753" s="1" t="s">
        <v>409</v>
      </c>
      <c r="B753" t="s">
        <v>375</v>
      </c>
      <c r="C753" t="str">
        <f t="shared" ref="C753:C816" si="18">D753&amp;E753</f>
        <v>Auxiliaire de puériculture de classe normale11</v>
      </c>
      <c r="D753" t="s">
        <v>398</v>
      </c>
      <c r="E753">
        <v>11</v>
      </c>
      <c r="F753">
        <v>610</v>
      </c>
      <c r="G753">
        <v>517</v>
      </c>
      <c r="H753" s="1" t="s">
        <v>8</v>
      </c>
    </row>
    <row r="754" spans="1:8" x14ac:dyDescent="0.2">
      <c r="A754" s="1" t="s">
        <v>409</v>
      </c>
      <c r="B754" t="s">
        <v>375</v>
      </c>
      <c r="C754" t="str">
        <f t="shared" si="18"/>
        <v>Auxiliaire de puériculture de classe supérieure1</v>
      </c>
      <c r="D754" t="s">
        <v>397</v>
      </c>
      <c r="E754">
        <v>1</v>
      </c>
      <c r="F754">
        <v>433</v>
      </c>
      <c r="G754">
        <v>387</v>
      </c>
      <c r="H754" s="1" t="s">
        <v>8</v>
      </c>
    </row>
    <row r="755" spans="1:8" x14ac:dyDescent="0.2">
      <c r="A755" s="1" t="s">
        <v>409</v>
      </c>
      <c r="B755" t="s">
        <v>375</v>
      </c>
      <c r="C755" t="str">
        <f t="shared" si="18"/>
        <v>Auxiliaire de puériculture de classe supérieure2</v>
      </c>
      <c r="D755" t="s">
        <v>397</v>
      </c>
      <c r="E755">
        <v>2</v>
      </c>
      <c r="F755">
        <v>449</v>
      </c>
      <c r="G755">
        <v>399</v>
      </c>
      <c r="H755" s="1" t="s">
        <v>8</v>
      </c>
    </row>
    <row r="756" spans="1:8" x14ac:dyDescent="0.2">
      <c r="A756" s="1" t="s">
        <v>409</v>
      </c>
      <c r="B756" t="s">
        <v>375</v>
      </c>
      <c r="C756" t="str">
        <f t="shared" si="18"/>
        <v>Auxiliaire de puériculture de classe supérieure3</v>
      </c>
      <c r="D756" t="s">
        <v>397</v>
      </c>
      <c r="E756">
        <v>3</v>
      </c>
      <c r="F756">
        <v>464</v>
      </c>
      <c r="G756">
        <v>411</v>
      </c>
      <c r="H756" s="1" t="s">
        <v>8</v>
      </c>
    </row>
    <row r="757" spans="1:8" x14ac:dyDescent="0.2">
      <c r="A757" s="1" t="s">
        <v>409</v>
      </c>
      <c r="B757" t="s">
        <v>375</v>
      </c>
      <c r="C757" t="str">
        <f t="shared" si="18"/>
        <v>Auxiliaire de puériculture de classe supérieure4</v>
      </c>
      <c r="D757" t="s">
        <v>397</v>
      </c>
      <c r="E757">
        <v>4</v>
      </c>
      <c r="F757">
        <v>484</v>
      </c>
      <c r="G757">
        <v>424</v>
      </c>
      <c r="H757" s="1" t="s">
        <v>8</v>
      </c>
    </row>
    <row r="758" spans="1:8" x14ac:dyDescent="0.2">
      <c r="A758" s="1" t="s">
        <v>409</v>
      </c>
      <c r="B758" t="s">
        <v>375</v>
      </c>
      <c r="C758" t="str">
        <f t="shared" si="18"/>
        <v>Auxiliaire de puériculture de classe supérieure5</v>
      </c>
      <c r="D758" t="s">
        <v>397</v>
      </c>
      <c r="E758">
        <v>5</v>
      </c>
      <c r="F758">
        <v>508</v>
      </c>
      <c r="G758">
        <v>442</v>
      </c>
      <c r="H758" s="1" t="s">
        <v>8</v>
      </c>
    </row>
    <row r="759" spans="1:8" x14ac:dyDescent="0.2">
      <c r="A759" s="1" t="s">
        <v>409</v>
      </c>
      <c r="B759" t="s">
        <v>375</v>
      </c>
      <c r="C759" t="str">
        <f t="shared" si="18"/>
        <v>Auxiliaire de puériculture de classe supérieure6</v>
      </c>
      <c r="D759" t="s">
        <v>397</v>
      </c>
      <c r="E759">
        <v>6</v>
      </c>
      <c r="F759">
        <v>532</v>
      </c>
      <c r="G759">
        <v>460</v>
      </c>
      <c r="H759" s="1" t="s">
        <v>8</v>
      </c>
    </row>
    <row r="760" spans="1:8" x14ac:dyDescent="0.2">
      <c r="A760" s="1" t="s">
        <v>409</v>
      </c>
      <c r="B760" t="s">
        <v>375</v>
      </c>
      <c r="C760" t="str">
        <f t="shared" si="18"/>
        <v>Auxiliaire de puériculture de classe supérieure7</v>
      </c>
      <c r="D760" t="s">
        <v>397</v>
      </c>
      <c r="E760">
        <v>7</v>
      </c>
      <c r="F760">
        <v>568</v>
      </c>
      <c r="G760">
        <v>486</v>
      </c>
      <c r="H760" s="1" t="s">
        <v>8</v>
      </c>
    </row>
    <row r="761" spans="1:8" x14ac:dyDescent="0.2">
      <c r="A761" s="1" t="s">
        <v>409</v>
      </c>
      <c r="B761" t="s">
        <v>375</v>
      </c>
      <c r="C761" t="str">
        <f t="shared" si="18"/>
        <v>Auxiliaire de puériculture de classe supérieure8</v>
      </c>
      <c r="D761" t="s">
        <v>397</v>
      </c>
      <c r="E761">
        <v>8</v>
      </c>
      <c r="F761">
        <v>585</v>
      </c>
      <c r="G761">
        <v>499</v>
      </c>
      <c r="H761" s="1" t="s">
        <v>8</v>
      </c>
    </row>
    <row r="762" spans="1:8" x14ac:dyDescent="0.2">
      <c r="A762" s="1" t="s">
        <v>409</v>
      </c>
      <c r="B762" t="s">
        <v>375</v>
      </c>
      <c r="C762" t="str">
        <f t="shared" si="18"/>
        <v>Auxiliaire de puériculture de classe supérieure9</v>
      </c>
      <c r="D762" t="s">
        <v>397</v>
      </c>
      <c r="E762">
        <v>9</v>
      </c>
      <c r="F762">
        <v>612</v>
      </c>
      <c r="G762">
        <v>519</v>
      </c>
      <c r="H762" s="1" t="s">
        <v>8</v>
      </c>
    </row>
    <row r="763" spans="1:8" x14ac:dyDescent="0.2">
      <c r="A763" s="1" t="s">
        <v>409</v>
      </c>
      <c r="B763" t="s">
        <v>375</v>
      </c>
      <c r="C763" t="str">
        <f t="shared" si="18"/>
        <v>Auxiliaire de puériculture de classe supérieure10</v>
      </c>
      <c r="D763" t="s">
        <v>397</v>
      </c>
      <c r="E763">
        <v>10</v>
      </c>
      <c r="F763">
        <v>638</v>
      </c>
      <c r="G763">
        <v>539</v>
      </c>
      <c r="H763" s="1" t="s">
        <v>8</v>
      </c>
    </row>
    <row r="764" spans="1:8" x14ac:dyDescent="0.2">
      <c r="A764" s="1" t="s">
        <v>409</v>
      </c>
      <c r="B764" t="s">
        <v>375</v>
      </c>
      <c r="C764" t="str">
        <f t="shared" si="18"/>
        <v>Auxiliaire de puériculture de classe supérieure11</v>
      </c>
      <c r="D764" t="s">
        <v>397</v>
      </c>
      <c r="E764">
        <v>11</v>
      </c>
      <c r="F764">
        <v>665</v>
      </c>
      <c r="G764">
        <v>560</v>
      </c>
      <c r="H764" s="1" t="s">
        <v>8</v>
      </c>
    </row>
    <row r="765" spans="1:8" x14ac:dyDescent="0.2">
      <c r="A765" s="1" t="s">
        <v>409</v>
      </c>
      <c r="B765" t="s">
        <v>377</v>
      </c>
      <c r="C765" t="str">
        <f t="shared" si="18"/>
        <v>ATSEM principal 2° classe1</v>
      </c>
      <c r="D765" t="s">
        <v>404</v>
      </c>
      <c r="E765">
        <v>1</v>
      </c>
      <c r="G765">
        <v>367</v>
      </c>
      <c r="H765" t="s">
        <v>74</v>
      </c>
    </row>
    <row r="766" spans="1:8" x14ac:dyDescent="0.2">
      <c r="A766" s="1" t="s">
        <v>409</v>
      </c>
      <c r="B766" t="s">
        <v>377</v>
      </c>
      <c r="C766" t="str">
        <f t="shared" si="18"/>
        <v>ATSEM principal 2° classe2</v>
      </c>
      <c r="D766" t="s">
        <v>404</v>
      </c>
      <c r="E766">
        <v>2</v>
      </c>
      <c r="G766">
        <v>369</v>
      </c>
      <c r="H766" t="s">
        <v>74</v>
      </c>
    </row>
    <row r="767" spans="1:8" x14ac:dyDescent="0.2">
      <c r="A767" s="1" t="s">
        <v>409</v>
      </c>
      <c r="B767" t="s">
        <v>377</v>
      </c>
      <c r="C767" t="str">
        <f t="shared" si="18"/>
        <v>ATSEM principal 2° classe3</v>
      </c>
      <c r="D767" t="s">
        <v>404</v>
      </c>
      <c r="E767">
        <v>3</v>
      </c>
      <c r="G767">
        <v>370</v>
      </c>
      <c r="H767" t="s">
        <v>74</v>
      </c>
    </row>
    <row r="768" spans="1:8" x14ac:dyDescent="0.2">
      <c r="A768" s="1" t="s">
        <v>409</v>
      </c>
      <c r="B768" t="s">
        <v>377</v>
      </c>
      <c r="C768" t="str">
        <f t="shared" si="18"/>
        <v>ATSEM principal 2° classe4</v>
      </c>
      <c r="D768" t="s">
        <v>404</v>
      </c>
      <c r="E768">
        <v>4</v>
      </c>
      <c r="G768">
        <v>373</v>
      </c>
      <c r="H768" t="s">
        <v>74</v>
      </c>
    </row>
    <row r="769" spans="1:8" x14ac:dyDescent="0.2">
      <c r="A769" s="1" t="s">
        <v>409</v>
      </c>
      <c r="B769" t="s">
        <v>377</v>
      </c>
      <c r="C769" t="str">
        <f t="shared" si="18"/>
        <v>ATSEM principal 2° classe5</v>
      </c>
      <c r="D769" t="s">
        <v>404</v>
      </c>
      <c r="E769">
        <v>5</v>
      </c>
      <c r="G769">
        <v>374</v>
      </c>
      <c r="H769" t="s">
        <v>74</v>
      </c>
    </row>
    <row r="770" spans="1:8" x14ac:dyDescent="0.2">
      <c r="A770" s="1" t="s">
        <v>409</v>
      </c>
      <c r="B770" t="s">
        <v>377</v>
      </c>
      <c r="C770" t="str">
        <f t="shared" si="18"/>
        <v>ATSEM principal 2° classe6</v>
      </c>
      <c r="D770" t="s">
        <v>404</v>
      </c>
      <c r="E770">
        <v>6</v>
      </c>
      <c r="G770">
        <v>376</v>
      </c>
      <c r="H770" t="s">
        <v>74</v>
      </c>
    </row>
    <row r="771" spans="1:8" x14ac:dyDescent="0.2">
      <c r="A771" s="1" t="s">
        <v>409</v>
      </c>
      <c r="B771" t="s">
        <v>377</v>
      </c>
      <c r="C771" t="str">
        <f t="shared" si="18"/>
        <v>ATSEM principal 2° classe7</v>
      </c>
      <c r="D771" t="s">
        <v>404</v>
      </c>
      <c r="E771">
        <v>7</v>
      </c>
      <c r="G771">
        <v>377</v>
      </c>
      <c r="H771" t="s">
        <v>74</v>
      </c>
    </row>
    <row r="772" spans="1:8" x14ac:dyDescent="0.2">
      <c r="A772" s="1" t="s">
        <v>409</v>
      </c>
      <c r="B772" t="s">
        <v>377</v>
      </c>
      <c r="C772" t="str">
        <f t="shared" si="18"/>
        <v>ATSEM principal 2° classe8</v>
      </c>
      <c r="D772" t="s">
        <v>404</v>
      </c>
      <c r="E772">
        <v>8</v>
      </c>
      <c r="G772">
        <v>385</v>
      </c>
      <c r="H772" t="s">
        <v>74</v>
      </c>
    </row>
    <row r="773" spans="1:8" x14ac:dyDescent="0.2">
      <c r="A773" s="1" t="s">
        <v>409</v>
      </c>
      <c r="B773" t="s">
        <v>377</v>
      </c>
      <c r="C773" t="str">
        <f t="shared" si="18"/>
        <v>ATSEM principal 2° classe9</v>
      </c>
      <c r="D773" t="s">
        <v>404</v>
      </c>
      <c r="E773">
        <v>9</v>
      </c>
      <c r="G773">
        <v>397</v>
      </c>
      <c r="H773" t="s">
        <v>74</v>
      </c>
    </row>
    <row r="774" spans="1:8" x14ac:dyDescent="0.2">
      <c r="A774" s="1" t="s">
        <v>409</v>
      </c>
      <c r="B774" t="s">
        <v>377</v>
      </c>
      <c r="C774" t="str">
        <f t="shared" si="18"/>
        <v>ATSEM principal 2° classe10</v>
      </c>
      <c r="D774" t="s">
        <v>404</v>
      </c>
      <c r="E774">
        <v>10</v>
      </c>
      <c r="G774">
        <v>409</v>
      </c>
      <c r="H774" t="s">
        <v>74</v>
      </c>
    </row>
    <row r="775" spans="1:8" x14ac:dyDescent="0.2">
      <c r="A775" s="1" t="s">
        <v>409</v>
      </c>
      <c r="B775" t="s">
        <v>377</v>
      </c>
      <c r="C775" t="str">
        <f t="shared" si="18"/>
        <v>ATSEM principal 2° classe11</v>
      </c>
      <c r="D775" t="s">
        <v>404</v>
      </c>
      <c r="E775">
        <v>11</v>
      </c>
      <c r="G775">
        <v>417</v>
      </c>
      <c r="H775" t="s">
        <v>74</v>
      </c>
    </row>
    <row r="776" spans="1:8" x14ac:dyDescent="0.2">
      <c r="A776" s="1" t="s">
        <v>409</v>
      </c>
      <c r="B776" t="s">
        <v>377</v>
      </c>
      <c r="C776" t="str">
        <f t="shared" si="18"/>
        <v>ATSEM principal 2° classe12</v>
      </c>
      <c r="D776" t="s">
        <v>404</v>
      </c>
      <c r="E776">
        <v>12</v>
      </c>
      <c r="G776">
        <v>425</v>
      </c>
      <c r="H776" t="s">
        <v>74</v>
      </c>
    </row>
    <row r="777" spans="1:8" x14ac:dyDescent="0.2">
      <c r="A777" s="1" t="s">
        <v>409</v>
      </c>
      <c r="B777" t="s">
        <v>377</v>
      </c>
      <c r="C777" t="str">
        <f t="shared" si="18"/>
        <v>ATSEM principal 1° classe1</v>
      </c>
      <c r="D777" t="s">
        <v>405</v>
      </c>
      <c r="E777">
        <v>1</v>
      </c>
      <c r="G777">
        <v>373</v>
      </c>
      <c r="H777" t="s">
        <v>74</v>
      </c>
    </row>
    <row r="778" spans="1:8" x14ac:dyDescent="0.2">
      <c r="A778" s="1" t="s">
        <v>409</v>
      </c>
      <c r="B778" t="s">
        <v>377</v>
      </c>
      <c r="C778" t="str">
        <f t="shared" si="18"/>
        <v>ATSEM principal 1° classe2</v>
      </c>
      <c r="D778" t="s">
        <v>405</v>
      </c>
      <c r="E778">
        <v>2</v>
      </c>
      <c r="G778">
        <v>375</v>
      </c>
      <c r="H778" t="s">
        <v>74</v>
      </c>
    </row>
    <row r="779" spans="1:8" x14ac:dyDescent="0.2">
      <c r="A779" s="1" t="s">
        <v>409</v>
      </c>
      <c r="B779" t="s">
        <v>377</v>
      </c>
      <c r="C779" t="str">
        <f t="shared" si="18"/>
        <v>ATSEM principal 1° classe3</v>
      </c>
      <c r="D779" t="s">
        <v>405</v>
      </c>
      <c r="E779">
        <v>3</v>
      </c>
      <c r="G779">
        <v>376</v>
      </c>
      <c r="H779" t="s">
        <v>74</v>
      </c>
    </row>
    <row r="780" spans="1:8" x14ac:dyDescent="0.2">
      <c r="A780" s="1" t="s">
        <v>409</v>
      </c>
      <c r="B780" t="s">
        <v>377</v>
      </c>
      <c r="C780" t="str">
        <f t="shared" si="18"/>
        <v>ATSEM principal 1° classe4</v>
      </c>
      <c r="D780" t="s">
        <v>405</v>
      </c>
      <c r="E780">
        <v>4</v>
      </c>
      <c r="G780">
        <v>385</v>
      </c>
      <c r="H780" t="s">
        <v>74</v>
      </c>
    </row>
    <row r="781" spans="1:8" x14ac:dyDescent="0.2">
      <c r="A781" s="1" t="s">
        <v>409</v>
      </c>
      <c r="B781" t="s">
        <v>377</v>
      </c>
      <c r="C781" t="str">
        <f t="shared" si="18"/>
        <v>ATSEM principal 1° classe5</v>
      </c>
      <c r="D781" t="s">
        <v>405</v>
      </c>
      <c r="E781">
        <v>5</v>
      </c>
      <c r="G781">
        <v>398</v>
      </c>
      <c r="H781" t="s">
        <v>74</v>
      </c>
    </row>
    <row r="782" spans="1:8" x14ac:dyDescent="0.2">
      <c r="A782" s="1" t="s">
        <v>409</v>
      </c>
      <c r="B782" t="s">
        <v>377</v>
      </c>
      <c r="C782" t="str">
        <f t="shared" si="18"/>
        <v>ATSEM principal 1° classe6</v>
      </c>
      <c r="D782" t="s">
        <v>405</v>
      </c>
      <c r="E782">
        <v>6</v>
      </c>
      <c r="G782">
        <v>408</v>
      </c>
      <c r="H782" t="s">
        <v>74</v>
      </c>
    </row>
    <row r="783" spans="1:8" x14ac:dyDescent="0.2">
      <c r="A783" s="1" t="s">
        <v>409</v>
      </c>
      <c r="B783" t="s">
        <v>377</v>
      </c>
      <c r="C783" t="str">
        <f t="shared" si="18"/>
        <v>ATSEM principal 1° classe7</v>
      </c>
      <c r="D783" t="s">
        <v>405</v>
      </c>
      <c r="E783">
        <v>7</v>
      </c>
      <c r="G783">
        <v>420</v>
      </c>
      <c r="H783" t="s">
        <v>74</v>
      </c>
    </row>
    <row r="784" spans="1:8" x14ac:dyDescent="0.2">
      <c r="A784" s="1" t="s">
        <v>409</v>
      </c>
      <c r="B784" t="s">
        <v>377</v>
      </c>
      <c r="C784" t="str">
        <f t="shared" si="18"/>
        <v>ATSEM principal 1° classe8</v>
      </c>
      <c r="D784" t="s">
        <v>405</v>
      </c>
      <c r="E784">
        <v>8</v>
      </c>
      <c r="G784">
        <v>435</v>
      </c>
      <c r="H784" t="s">
        <v>74</v>
      </c>
    </row>
    <row r="785" spans="1:8" x14ac:dyDescent="0.2">
      <c r="A785" s="1" t="s">
        <v>409</v>
      </c>
      <c r="B785" t="s">
        <v>377</v>
      </c>
      <c r="C785" t="str">
        <f t="shared" si="18"/>
        <v>ATSEM principal 1° classe9</v>
      </c>
      <c r="D785" t="s">
        <v>405</v>
      </c>
      <c r="E785">
        <v>9</v>
      </c>
      <c r="G785">
        <v>455</v>
      </c>
      <c r="H785" t="s">
        <v>74</v>
      </c>
    </row>
    <row r="786" spans="1:8" x14ac:dyDescent="0.2">
      <c r="A786" s="1" t="s">
        <v>409</v>
      </c>
      <c r="B786" t="s">
        <v>377</v>
      </c>
      <c r="C786" t="str">
        <f t="shared" si="18"/>
        <v>ATSEM principal 1° classe10</v>
      </c>
      <c r="D786" t="s">
        <v>405</v>
      </c>
      <c r="E786">
        <v>10</v>
      </c>
      <c r="G786">
        <v>478</v>
      </c>
      <c r="H786" t="s">
        <v>74</v>
      </c>
    </row>
    <row r="787" spans="1:8" x14ac:dyDescent="0.2">
      <c r="A787" s="1" t="s">
        <v>409</v>
      </c>
      <c r="B787" t="s">
        <v>378</v>
      </c>
      <c r="C787" t="str">
        <f t="shared" si="18"/>
        <v>Agent social1</v>
      </c>
      <c r="D787" t="s">
        <v>401</v>
      </c>
      <c r="E787">
        <v>1</v>
      </c>
      <c r="G787">
        <v>366</v>
      </c>
      <c r="H787" t="s">
        <v>74</v>
      </c>
    </row>
    <row r="788" spans="1:8" x14ac:dyDescent="0.2">
      <c r="A788" s="1" t="s">
        <v>409</v>
      </c>
      <c r="B788" t="s">
        <v>378</v>
      </c>
      <c r="C788" t="str">
        <f t="shared" si="18"/>
        <v>Agent social2</v>
      </c>
      <c r="D788" t="s">
        <v>401</v>
      </c>
      <c r="E788">
        <v>2</v>
      </c>
      <c r="G788">
        <v>367</v>
      </c>
      <c r="H788" t="s">
        <v>74</v>
      </c>
    </row>
    <row r="789" spans="1:8" x14ac:dyDescent="0.2">
      <c r="A789" s="1" t="s">
        <v>409</v>
      </c>
      <c r="B789" t="s">
        <v>378</v>
      </c>
      <c r="C789" t="str">
        <f t="shared" si="18"/>
        <v>Agent social3</v>
      </c>
      <c r="D789" t="s">
        <v>401</v>
      </c>
      <c r="E789">
        <v>3</v>
      </c>
      <c r="G789">
        <v>368</v>
      </c>
      <c r="H789" t="s">
        <v>74</v>
      </c>
    </row>
    <row r="790" spans="1:8" x14ac:dyDescent="0.2">
      <c r="A790" s="1" t="s">
        <v>409</v>
      </c>
      <c r="B790" t="s">
        <v>378</v>
      </c>
      <c r="C790" t="str">
        <f t="shared" si="18"/>
        <v>Agent social4</v>
      </c>
      <c r="D790" t="s">
        <v>401</v>
      </c>
      <c r="E790">
        <v>4</v>
      </c>
      <c r="G790">
        <v>369</v>
      </c>
      <c r="H790" t="s">
        <v>74</v>
      </c>
    </row>
    <row r="791" spans="1:8" x14ac:dyDescent="0.2">
      <c r="A791" s="1" t="s">
        <v>409</v>
      </c>
      <c r="B791" t="s">
        <v>378</v>
      </c>
      <c r="C791" t="str">
        <f t="shared" si="18"/>
        <v>Agent social5</v>
      </c>
      <c r="D791" t="s">
        <v>401</v>
      </c>
      <c r="E791">
        <v>5</v>
      </c>
      <c r="G791">
        <v>370</v>
      </c>
      <c r="H791" t="s">
        <v>74</v>
      </c>
    </row>
    <row r="792" spans="1:8" x14ac:dyDescent="0.2">
      <c r="A792" s="1" t="s">
        <v>409</v>
      </c>
      <c r="B792" t="s">
        <v>378</v>
      </c>
      <c r="C792" t="str">
        <f t="shared" si="18"/>
        <v>Agent social6</v>
      </c>
      <c r="D792" t="s">
        <v>401</v>
      </c>
      <c r="E792">
        <v>6</v>
      </c>
      <c r="G792">
        <v>371</v>
      </c>
      <c r="H792" t="s">
        <v>74</v>
      </c>
    </row>
    <row r="793" spans="1:8" x14ac:dyDescent="0.2">
      <c r="A793" s="1" t="s">
        <v>409</v>
      </c>
      <c r="B793" t="s">
        <v>378</v>
      </c>
      <c r="C793" t="str">
        <f t="shared" si="18"/>
        <v>Agent social7</v>
      </c>
      <c r="D793" t="s">
        <v>401</v>
      </c>
      <c r="E793">
        <v>7</v>
      </c>
      <c r="G793">
        <v>372</v>
      </c>
      <c r="H793" t="s">
        <v>74</v>
      </c>
    </row>
    <row r="794" spans="1:8" x14ac:dyDescent="0.2">
      <c r="A794" s="1" t="s">
        <v>409</v>
      </c>
      <c r="B794" t="s">
        <v>378</v>
      </c>
      <c r="C794" t="str">
        <f t="shared" si="18"/>
        <v>Agent social8</v>
      </c>
      <c r="D794" t="s">
        <v>401</v>
      </c>
      <c r="E794">
        <v>8</v>
      </c>
      <c r="G794">
        <v>373</v>
      </c>
      <c r="H794" t="s">
        <v>74</v>
      </c>
    </row>
    <row r="795" spans="1:8" x14ac:dyDescent="0.2">
      <c r="A795" s="1" t="s">
        <v>409</v>
      </c>
      <c r="B795" t="s">
        <v>378</v>
      </c>
      <c r="C795" t="str">
        <f t="shared" si="18"/>
        <v>Agent social9</v>
      </c>
      <c r="D795" t="s">
        <v>401</v>
      </c>
      <c r="E795">
        <v>9</v>
      </c>
      <c r="G795">
        <v>376</v>
      </c>
      <c r="H795" t="s">
        <v>74</v>
      </c>
    </row>
    <row r="796" spans="1:8" x14ac:dyDescent="0.2">
      <c r="A796" s="1" t="s">
        <v>409</v>
      </c>
      <c r="B796" t="s">
        <v>378</v>
      </c>
      <c r="C796" t="str">
        <f t="shared" si="18"/>
        <v>Agent social10</v>
      </c>
      <c r="D796" t="s">
        <v>401</v>
      </c>
      <c r="E796">
        <v>10</v>
      </c>
      <c r="G796">
        <v>377</v>
      </c>
      <c r="H796" t="s">
        <v>74</v>
      </c>
    </row>
    <row r="797" spans="1:8" x14ac:dyDescent="0.2">
      <c r="A797" s="1" t="s">
        <v>409</v>
      </c>
      <c r="B797" t="s">
        <v>378</v>
      </c>
      <c r="C797" t="str">
        <f t="shared" si="18"/>
        <v>Agent social11</v>
      </c>
      <c r="D797" t="s">
        <v>401</v>
      </c>
      <c r="E797">
        <v>11</v>
      </c>
      <c r="G797">
        <v>387</v>
      </c>
      <c r="H797" t="s">
        <v>74</v>
      </c>
    </row>
    <row r="798" spans="1:8" x14ac:dyDescent="0.2">
      <c r="A798" s="1" t="s">
        <v>409</v>
      </c>
      <c r="B798" t="s">
        <v>378</v>
      </c>
      <c r="C798" t="str">
        <f t="shared" si="18"/>
        <v>Agent social principal 2° classe1</v>
      </c>
      <c r="D798" t="s">
        <v>402</v>
      </c>
      <c r="E798">
        <v>1</v>
      </c>
      <c r="G798">
        <v>367</v>
      </c>
      <c r="H798" t="s">
        <v>74</v>
      </c>
    </row>
    <row r="799" spans="1:8" x14ac:dyDescent="0.2">
      <c r="A799" s="1" t="s">
        <v>409</v>
      </c>
      <c r="B799" t="s">
        <v>378</v>
      </c>
      <c r="C799" t="str">
        <f t="shared" si="18"/>
        <v>Agent social principal 2° classe2</v>
      </c>
      <c r="D799" t="s">
        <v>402</v>
      </c>
      <c r="E799">
        <v>2</v>
      </c>
      <c r="G799">
        <v>369</v>
      </c>
      <c r="H799" t="s">
        <v>74</v>
      </c>
    </row>
    <row r="800" spans="1:8" x14ac:dyDescent="0.2">
      <c r="A800" s="1" t="s">
        <v>409</v>
      </c>
      <c r="B800" t="s">
        <v>378</v>
      </c>
      <c r="C800" t="str">
        <f t="shared" si="18"/>
        <v>Agent social principal 2° classe3</v>
      </c>
      <c r="D800" t="s">
        <v>402</v>
      </c>
      <c r="E800">
        <v>3</v>
      </c>
      <c r="G800">
        <v>370</v>
      </c>
      <c r="H800" t="s">
        <v>74</v>
      </c>
    </row>
    <row r="801" spans="1:8" x14ac:dyDescent="0.2">
      <c r="A801" s="1" t="s">
        <v>409</v>
      </c>
      <c r="B801" t="s">
        <v>378</v>
      </c>
      <c r="C801" t="str">
        <f t="shared" si="18"/>
        <v>Agent social principal 2° classe4</v>
      </c>
      <c r="D801" t="s">
        <v>402</v>
      </c>
      <c r="E801">
        <v>4</v>
      </c>
      <c r="G801">
        <v>373</v>
      </c>
      <c r="H801" t="s">
        <v>74</v>
      </c>
    </row>
    <row r="802" spans="1:8" x14ac:dyDescent="0.2">
      <c r="A802" s="1" t="s">
        <v>409</v>
      </c>
      <c r="B802" t="s">
        <v>378</v>
      </c>
      <c r="C802" t="str">
        <f t="shared" si="18"/>
        <v>Agent social principal 2° classe5</v>
      </c>
      <c r="D802" t="s">
        <v>402</v>
      </c>
      <c r="E802">
        <v>5</v>
      </c>
      <c r="G802">
        <v>374</v>
      </c>
      <c r="H802" t="s">
        <v>74</v>
      </c>
    </row>
    <row r="803" spans="1:8" x14ac:dyDescent="0.2">
      <c r="A803" s="1" t="s">
        <v>409</v>
      </c>
      <c r="B803" t="s">
        <v>378</v>
      </c>
      <c r="C803" t="str">
        <f t="shared" si="18"/>
        <v>Agent social principal 2° classe6</v>
      </c>
      <c r="D803" t="s">
        <v>402</v>
      </c>
      <c r="E803">
        <v>6</v>
      </c>
      <c r="G803">
        <v>376</v>
      </c>
      <c r="H803" t="s">
        <v>74</v>
      </c>
    </row>
    <row r="804" spans="1:8" x14ac:dyDescent="0.2">
      <c r="A804" s="1" t="s">
        <v>409</v>
      </c>
      <c r="B804" t="s">
        <v>378</v>
      </c>
      <c r="C804" t="str">
        <f t="shared" si="18"/>
        <v>Agent social principal 2° classe7</v>
      </c>
      <c r="D804" t="s">
        <v>402</v>
      </c>
      <c r="E804">
        <v>7</v>
      </c>
      <c r="G804">
        <v>377</v>
      </c>
      <c r="H804" t="s">
        <v>74</v>
      </c>
    </row>
    <row r="805" spans="1:8" x14ac:dyDescent="0.2">
      <c r="A805" s="1" t="s">
        <v>409</v>
      </c>
      <c r="B805" t="s">
        <v>378</v>
      </c>
      <c r="C805" t="str">
        <f t="shared" si="18"/>
        <v>Agent social principal 2° classe8</v>
      </c>
      <c r="D805" t="s">
        <v>402</v>
      </c>
      <c r="E805">
        <v>8</v>
      </c>
      <c r="G805">
        <v>385</v>
      </c>
      <c r="H805" t="s">
        <v>74</v>
      </c>
    </row>
    <row r="806" spans="1:8" x14ac:dyDescent="0.2">
      <c r="A806" s="1" t="s">
        <v>409</v>
      </c>
      <c r="B806" t="s">
        <v>378</v>
      </c>
      <c r="C806" t="str">
        <f t="shared" si="18"/>
        <v>Agent social principal 2° classe9</v>
      </c>
      <c r="D806" t="s">
        <v>402</v>
      </c>
      <c r="E806">
        <v>9</v>
      </c>
      <c r="G806">
        <v>397</v>
      </c>
      <c r="H806" t="s">
        <v>74</v>
      </c>
    </row>
    <row r="807" spans="1:8" x14ac:dyDescent="0.2">
      <c r="A807" s="1" t="s">
        <v>409</v>
      </c>
      <c r="B807" t="s">
        <v>378</v>
      </c>
      <c r="C807" t="str">
        <f t="shared" si="18"/>
        <v>Agent social principal 2° classe10</v>
      </c>
      <c r="D807" t="s">
        <v>402</v>
      </c>
      <c r="E807">
        <v>10</v>
      </c>
      <c r="G807">
        <v>409</v>
      </c>
      <c r="H807" t="s">
        <v>74</v>
      </c>
    </row>
    <row r="808" spans="1:8" x14ac:dyDescent="0.2">
      <c r="A808" s="1" t="s">
        <v>409</v>
      </c>
      <c r="B808" t="s">
        <v>378</v>
      </c>
      <c r="C808" t="str">
        <f t="shared" si="18"/>
        <v>Agent social principal 2° classe11</v>
      </c>
      <c r="D808" t="s">
        <v>402</v>
      </c>
      <c r="E808">
        <v>11</v>
      </c>
      <c r="G808">
        <v>417</v>
      </c>
      <c r="H808" t="s">
        <v>74</v>
      </c>
    </row>
    <row r="809" spans="1:8" x14ac:dyDescent="0.2">
      <c r="A809" s="1" t="s">
        <v>409</v>
      </c>
      <c r="B809" t="s">
        <v>378</v>
      </c>
      <c r="C809" t="str">
        <f t="shared" si="18"/>
        <v>Agent social principal 2° classe12</v>
      </c>
      <c r="D809" t="s">
        <v>402</v>
      </c>
      <c r="E809">
        <v>12</v>
      </c>
      <c r="G809">
        <v>425</v>
      </c>
      <c r="H809" t="s">
        <v>74</v>
      </c>
    </row>
    <row r="810" spans="1:8" x14ac:dyDescent="0.2">
      <c r="A810" s="1" t="s">
        <v>409</v>
      </c>
      <c r="B810" t="s">
        <v>378</v>
      </c>
      <c r="C810" t="str">
        <f t="shared" si="18"/>
        <v>Agent social principal 1° classe1</v>
      </c>
      <c r="D810" t="s">
        <v>403</v>
      </c>
      <c r="E810">
        <v>1</v>
      </c>
      <c r="G810">
        <v>373</v>
      </c>
      <c r="H810" t="s">
        <v>74</v>
      </c>
    </row>
    <row r="811" spans="1:8" x14ac:dyDescent="0.2">
      <c r="A811" s="1" t="s">
        <v>409</v>
      </c>
      <c r="B811" t="s">
        <v>378</v>
      </c>
      <c r="C811" t="str">
        <f t="shared" si="18"/>
        <v>Agent social principal 1° classe2</v>
      </c>
      <c r="D811" t="s">
        <v>403</v>
      </c>
      <c r="E811">
        <v>2</v>
      </c>
      <c r="G811">
        <v>375</v>
      </c>
      <c r="H811" t="s">
        <v>74</v>
      </c>
    </row>
    <row r="812" spans="1:8" x14ac:dyDescent="0.2">
      <c r="A812" s="1" t="s">
        <v>409</v>
      </c>
      <c r="B812" t="s">
        <v>378</v>
      </c>
      <c r="C812" t="str">
        <f t="shared" si="18"/>
        <v>Agent social principal 1° classe3</v>
      </c>
      <c r="D812" t="s">
        <v>403</v>
      </c>
      <c r="E812">
        <v>3</v>
      </c>
      <c r="G812">
        <v>376</v>
      </c>
      <c r="H812" t="s">
        <v>74</v>
      </c>
    </row>
    <row r="813" spans="1:8" x14ac:dyDescent="0.2">
      <c r="A813" s="1" t="s">
        <v>409</v>
      </c>
      <c r="B813" t="s">
        <v>378</v>
      </c>
      <c r="C813" t="str">
        <f t="shared" si="18"/>
        <v>Agent social principal 1° classe4</v>
      </c>
      <c r="D813" t="s">
        <v>403</v>
      </c>
      <c r="E813">
        <v>4</v>
      </c>
      <c r="G813">
        <v>385</v>
      </c>
      <c r="H813" t="s">
        <v>74</v>
      </c>
    </row>
    <row r="814" spans="1:8" x14ac:dyDescent="0.2">
      <c r="A814" s="1" t="s">
        <v>409</v>
      </c>
      <c r="B814" t="s">
        <v>378</v>
      </c>
      <c r="C814" t="str">
        <f t="shared" si="18"/>
        <v>Agent social principal 1° classe5</v>
      </c>
      <c r="D814" t="s">
        <v>403</v>
      </c>
      <c r="E814">
        <v>5</v>
      </c>
      <c r="G814">
        <v>398</v>
      </c>
      <c r="H814" t="s">
        <v>74</v>
      </c>
    </row>
    <row r="815" spans="1:8" x14ac:dyDescent="0.2">
      <c r="A815" s="1" t="s">
        <v>409</v>
      </c>
      <c r="B815" t="s">
        <v>378</v>
      </c>
      <c r="C815" t="str">
        <f t="shared" si="18"/>
        <v>Agent social principal 1° classe6</v>
      </c>
      <c r="D815" t="s">
        <v>403</v>
      </c>
      <c r="E815">
        <v>6</v>
      </c>
      <c r="G815">
        <v>408</v>
      </c>
      <c r="H815" t="s">
        <v>74</v>
      </c>
    </row>
    <row r="816" spans="1:8" x14ac:dyDescent="0.2">
      <c r="A816" s="1" t="s">
        <v>409</v>
      </c>
      <c r="B816" t="s">
        <v>378</v>
      </c>
      <c r="C816" t="str">
        <f t="shared" si="18"/>
        <v>Agent social principal 1° classe7</v>
      </c>
      <c r="D816" t="s">
        <v>403</v>
      </c>
      <c r="E816">
        <v>7</v>
      </c>
      <c r="G816">
        <v>420</v>
      </c>
      <c r="H816" t="s">
        <v>74</v>
      </c>
    </row>
    <row r="817" spans="1:8" x14ac:dyDescent="0.2">
      <c r="A817" s="1" t="s">
        <v>409</v>
      </c>
      <c r="B817" t="s">
        <v>378</v>
      </c>
      <c r="C817" t="str">
        <f t="shared" ref="C817:C819" si="19">D817&amp;E817</f>
        <v>Agent social principal 1° classe8</v>
      </c>
      <c r="D817" t="s">
        <v>403</v>
      </c>
      <c r="E817">
        <v>8</v>
      </c>
      <c r="G817">
        <v>435</v>
      </c>
      <c r="H817" t="s">
        <v>74</v>
      </c>
    </row>
    <row r="818" spans="1:8" x14ac:dyDescent="0.2">
      <c r="A818" s="1" t="s">
        <v>409</v>
      </c>
      <c r="B818" t="s">
        <v>378</v>
      </c>
      <c r="C818" t="str">
        <f t="shared" si="19"/>
        <v>Agent social principal 1° classe9</v>
      </c>
      <c r="D818" t="s">
        <v>403</v>
      </c>
      <c r="E818">
        <v>9</v>
      </c>
      <c r="G818">
        <v>455</v>
      </c>
      <c r="H818" t="s">
        <v>74</v>
      </c>
    </row>
    <row r="819" spans="1:8" x14ac:dyDescent="0.2">
      <c r="A819" s="1" t="s">
        <v>409</v>
      </c>
      <c r="B819" t="s">
        <v>378</v>
      </c>
      <c r="C819" t="str">
        <f t="shared" si="19"/>
        <v>Agent social principal 1° classe10</v>
      </c>
      <c r="D819" t="s">
        <v>403</v>
      </c>
      <c r="E819">
        <v>10</v>
      </c>
      <c r="G819">
        <v>478</v>
      </c>
      <c r="H819" t="s">
        <v>74</v>
      </c>
    </row>
  </sheetData>
  <pageMargins left="0.7" right="0.7" top="0.75" bottom="0.75" header="0.3" footer="0.3"/>
  <tableParts count="45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  <tablePart r:id="rId27"/>
    <tablePart r:id="rId28"/>
    <tablePart r:id="rId29"/>
    <tablePart r:id="rId30"/>
    <tablePart r:id="rId31"/>
    <tablePart r:id="rId32"/>
    <tablePart r:id="rId33"/>
    <tablePart r:id="rId34"/>
    <tablePart r:id="rId35"/>
    <tablePart r:id="rId36"/>
    <tablePart r:id="rId37"/>
    <tablePart r:id="rId38"/>
    <tablePart r:id="rId39"/>
    <tablePart r:id="rId40"/>
    <tablePart r:id="rId41"/>
    <tablePart r:id="rId42"/>
    <tablePart r:id="rId43"/>
    <tablePart r:id="rId44"/>
    <tablePart r:id="rId4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EBD72F-B556-45AC-9D8B-2C50E3D4E481}">
  <sheetPr codeName="Feuil3"/>
  <dimension ref="A1:J675"/>
  <sheetViews>
    <sheetView workbookViewId="0">
      <selection activeCell="B12" sqref="B12"/>
    </sheetView>
  </sheetViews>
  <sheetFormatPr baseColWidth="10" defaultRowHeight="12.75" x14ac:dyDescent="0.2"/>
  <cols>
    <col min="1" max="1" width="10.42578125" bestFit="1" customWidth="1"/>
    <col min="2" max="2" width="66.42578125" style="58" bestFit="1" customWidth="1"/>
    <col min="3" max="3" width="44.85546875" bestFit="1" customWidth="1"/>
    <col min="4" max="4" width="5.42578125" bestFit="1" customWidth="1"/>
    <col min="5" max="5" width="37.140625" bestFit="1" customWidth="1"/>
    <col min="6" max="6" width="7.28515625" bestFit="1" customWidth="1"/>
    <col min="7" max="7" width="18.42578125" bestFit="1" customWidth="1"/>
    <col min="10" max="10" width="55.140625" bestFit="1" customWidth="1"/>
  </cols>
  <sheetData>
    <row r="1" spans="1:10" ht="25.5" x14ac:dyDescent="0.2">
      <c r="A1" s="92" t="s">
        <v>83</v>
      </c>
      <c r="B1" s="93" t="s">
        <v>73</v>
      </c>
      <c r="C1" s="92" t="s">
        <v>84</v>
      </c>
      <c r="D1" s="94" t="s">
        <v>3</v>
      </c>
      <c r="E1" s="95" t="s">
        <v>85</v>
      </c>
      <c r="F1" s="92" t="s">
        <v>86</v>
      </c>
      <c r="G1" s="92" t="s">
        <v>87</v>
      </c>
      <c r="J1" s="1" t="s">
        <v>263</v>
      </c>
    </row>
    <row r="2" spans="1:10" x14ac:dyDescent="0.2">
      <c r="A2" s="54" t="s">
        <v>89</v>
      </c>
      <c r="B2" s="57" t="str">
        <f>C2&amp;E2</f>
        <v>DirecteurAdministrateur</v>
      </c>
      <c r="C2" s="96" t="s">
        <v>90</v>
      </c>
      <c r="D2" s="45" t="s">
        <v>91</v>
      </c>
      <c r="E2" s="35" t="s">
        <v>92</v>
      </c>
      <c r="F2" s="36">
        <v>2100</v>
      </c>
      <c r="G2" s="97"/>
    </row>
    <row r="3" spans="1:10" x14ac:dyDescent="0.2">
      <c r="A3" s="54" t="s">
        <v>89</v>
      </c>
      <c r="B3" s="57" t="str">
        <f t="shared" ref="B3:B65" si="0">C3&amp;E3</f>
        <v>DirecteurDirecteur ter</v>
      </c>
      <c r="C3" s="96" t="s">
        <v>90</v>
      </c>
      <c r="D3" s="45" t="s">
        <v>93</v>
      </c>
      <c r="E3" s="35" t="s">
        <v>94</v>
      </c>
      <c r="F3" s="36">
        <v>1850</v>
      </c>
      <c r="G3" s="97"/>
      <c r="J3" t="s">
        <v>90</v>
      </c>
    </row>
    <row r="4" spans="1:10" x14ac:dyDescent="0.2">
      <c r="A4" s="54" t="s">
        <v>89</v>
      </c>
      <c r="B4" s="57" t="str">
        <f t="shared" si="0"/>
        <v>DirecteurAttaché hors classe</v>
      </c>
      <c r="C4" s="96" t="s">
        <v>90</v>
      </c>
      <c r="D4" s="45" t="s">
        <v>95</v>
      </c>
      <c r="E4" s="35" t="s">
        <v>17</v>
      </c>
      <c r="F4" s="36">
        <v>1850</v>
      </c>
      <c r="G4" s="97"/>
      <c r="J4" t="s">
        <v>120</v>
      </c>
    </row>
    <row r="5" spans="1:10" x14ac:dyDescent="0.2">
      <c r="A5" s="54" t="s">
        <v>89</v>
      </c>
      <c r="B5" s="57" t="str">
        <f t="shared" si="0"/>
        <v>DirecteurAttaché principal</v>
      </c>
      <c r="C5" s="96" t="s">
        <v>90</v>
      </c>
      <c r="D5" s="45" t="s">
        <v>96</v>
      </c>
      <c r="E5" s="35" t="s">
        <v>11</v>
      </c>
      <c r="F5" s="36">
        <v>1850</v>
      </c>
      <c r="G5" s="97"/>
      <c r="J5" t="s">
        <v>123</v>
      </c>
    </row>
    <row r="6" spans="1:10" x14ac:dyDescent="0.2">
      <c r="A6" s="54" t="s">
        <v>89</v>
      </c>
      <c r="B6" s="57" t="str">
        <f t="shared" si="0"/>
        <v>DirecteurAttaché</v>
      </c>
      <c r="C6" s="96" t="s">
        <v>90</v>
      </c>
      <c r="D6" s="45" t="s">
        <v>97</v>
      </c>
      <c r="E6" s="35" t="s">
        <v>10</v>
      </c>
      <c r="F6" s="36">
        <v>1600</v>
      </c>
      <c r="G6" s="97"/>
      <c r="J6" t="s">
        <v>132</v>
      </c>
    </row>
    <row r="7" spans="1:10" x14ac:dyDescent="0.2">
      <c r="A7" s="54" t="s">
        <v>89</v>
      </c>
      <c r="B7" s="57" t="str">
        <f t="shared" si="0"/>
        <v>DirecteurIngénieur en chef HCl</v>
      </c>
      <c r="C7" s="96" t="s">
        <v>90</v>
      </c>
      <c r="D7" s="45" t="s">
        <v>98</v>
      </c>
      <c r="E7" s="35" t="s">
        <v>99</v>
      </c>
      <c r="F7" s="36">
        <v>3170</v>
      </c>
      <c r="G7" s="97"/>
      <c r="J7" t="s">
        <v>134</v>
      </c>
    </row>
    <row r="8" spans="1:10" x14ac:dyDescent="0.2">
      <c r="A8" s="54" t="s">
        <v>89</v>
      </c>
      <c r="B8" s="57" t="str">
        <f t="shared" si="0"/>
        <v>DirecteurIngénieur en chef</v>
      </c>
      <c r="C8" s="96" t="s">
        <v>90</v>
      </c>
      <c r="D8" s="45" t="s">
        <v>100</v>
      </c>
      <c r="E8" s="35" t="s">
        <v>101</v>
      </c>
      <c r="F8" s="36">
        <v>3170</v>
      </c>
      <c r="G8" s="97"/>
      <c r="J8" t="s">
        <v>142</v>
      </c>
    </row>
    <row r="9" spans="1:10" x14ac:dyDescent="0.2">
      <c r="A9" s="54" t="s">
        <v>89</v>
      </c>
      <c r="B9" s="57" t="str">
        <f t="shared" si="0"/>
        <v>DirecteurIngénieur général</v>
      </c>
      <c r="C9" s="96" t="s">
        <v>90</v>
      </c>
      <c r="D9" s="45" t="s">
        <v>102</v>
      </c>
      <c r="E9" s="35" t="s">
        <v>103</v>
      </c>
      <c r="F9" s="36">
        <v>3170</v>
      </c>
      <c r="G9" s="97"/>
      <c r="J9" t="s">
        <v>144</v>
      </c>
    </row>
    <row r="10" spans="1:10" x14ac:dyDescent="0.2">
      <c r="A10" s="54" t="s">
        <v>89</v>
      </c>
      <c r="B10" s="57" t="str">
        <f t="shared" si="0"/>
        <v>DirecteurIngénieur HCl</v>
      </c>
      <c r="C10" s="96" t="s">
        <v>90</v>
      </c>
      <c r="D10" s="48">
        <v>2724</v>
      </c>
      <c r="E10" s="37" t="s">
        <v>104</v>
      </c>
      <c r="F10" s="36">
        <v>2350</v>
      </c>
      <c r="G10" s="98"/>
      <c r="J10" t="s">
        <v>187</v>
      </c>
    </row>
    <row r="11" spans="1:10" x14ac:dyDescent="0.2">
      <c r="A11" s="54" t="s">
        <v>89</v>
      </c>
      <c r="B11" s="57" t="str">
        <f t="shared" si="0"/>
        <v>DirecteurIngénieur Pal</v>
      </c>
      <c r="C11" s="96" t="s">
        <v>90</v>
      </c>
      <c r="D11" s="48">
        <v>2722</v>
      </c>
      <c r="E11" s="37" t="s">
        <v>105</v>
      </c>
      <c r="F11" s="36">
        <v>2350</v>
      </c>
      <c r="G11" s="98"/>
      <c r="J11" t="s">
        <v>147</v>
      </c>
    </row>
    <row r="12" spans="1:10" x14ac:dyDescent="0.2">
      <c r="A12" s="54" t="s">
        <v>89</v>
      </c>
      <c r="B12" s="57" t="str">
        <f t="shared" si="0"/>
        <v>DirecteurIngénieur</v>
      </c>
      <c r="C12" s="96" t="s">
        <v>90</v>
      </c>
      <c r="D12" s="48">
        <v>2720</v>
      </c>
      <c r="E12" s="37" t="s">
        <v>88</v>
      </c>
      <c r="F12" s="36">
        <v>1975</v>
      </c>
      <c r="G12" s="98"/>
      <c r="J12" t="s">
        <v>149</v>
      </c>
    </row>
    <row r="13" spans="1:10" x14ac:dyDescent="0.2">
      <c r="A13" s="54" t="s">
        <v>89</v>
      </c>
      <c r="B13" s="57" t="str">
        <f t="shared" si="0"/>
        <v>DirecteurConservateurs bibliothèque patrimoine chef</v>
      </c>
      <c r="C13" s="96" t="s">
        <v>90</v>
      </c>
      <c r="D13" s="48" t="s">
        <v>106</v>
      </c>
      <c r="E13" s="37" t="s">
        <v>339</v>
      </c>
      <c r="F13" s="36">
        <v>1600</v>
      </c>
      <c r="G13" s="98"/>
      <c r="J13" t="s">
        <v>189</v>
      </c>
    </row>
    <row r="14" spans="1:10" x14ac:dyDescent="0.2">
      <c r="A14" s="54" t="s">
        <v>89</v>
      </c>
      <c r="B14" s="57" t="str">
        <f t="shared" si="0"/>
        <v>DirecteurConservateurs bibliothèque patrimoine</v>
      </c>
      <c r="C14" s="96" t="s">
        <v>90</v>
      </c>
      <c r="D14" s="48" t="s">
        <v>107</v>
      </c>
      <c r="E14" s="37" t="s">
        <v>338</v>
      </c>
      <c r="F14" s="36">
        <v>1600</v>
      </c>
      <c r="G14" s="98"/>
      <c r="J14" t="s">
        <v>191</v>
      </c>
    </row>
    <row r="15" spans="1:10" x14ac:dyDescent="0.2">
      <c r="A15" s="54" t="s">
        <v>89</v>
      </c>
      <c r="B15" s="57" t="str">
        <f t="shared" si="0"/>
        <v>DirecteurConservateurs bibliothèque patrimoine</v>
      </c>
      <c r="C15" s="96" t="s">
        <v>90</v>
      </c>
      <c r="D15" s="48" t="s">
        <v>108</v>
      </c>
      <c r="E15" s="37" t="s">
        <v>338</v>
      </c>
      <c r="F15" s="36">
        <v>1600</v>
      </c>
      <c r="G15" s="98"/>
      <c r="J15" t="s">
        <v>151</v>
      </c>
    </row>
    <row r="16" spans="1:10" x14ac:dyDescent="0.2">
      <c r="A16" s="54" t="s">
        <v>89</v>
      </c>
      <c r="B16" s="57" t="str">
        <f t="shared" si="0"/>
        <v>DirecteurConservateurs bibliothèque patrimoine chef</v>
      </c>
      <c r="C16" s="96" t="s">
        <v>90</v>
      </c>
      <c r="D16" s="48" t="s">
        <v>109</v>
      </c>
      <c r="E16" s="37" t="s">
        <v>339</v>
      </c>
      <c r="F16" s="36">
        <v>1600</v>
      </c>
      <c r="G16" s="98"/>
      <c r="J16" t="s">
        <v>153</v>
      </c>
    </row>
    <row r="17" spans="1:10" x14ac:dyDescent="0.2">
      <c r="A17" s="54" t="s">
        <v>89</v>
      </c>
      <c r="B17" s="57" t="str">
        <f t="shared" si="0"/>
        <v>DirecteurConservateurs bibliothèque patrimoine chef</v>
      </c>
      <c r="C17" s="96" t="s">
        <v>90</v>
      </c>
      <c r="D17" s="48" t="s">
        <v>110</v>
      </c>
      <c r="E17" s="37" t="s">
        <v>339</v>
      </c>
      <c r="F17" s="36">
        <v>1600</v>
      </c>
      <c r="G17" s="98"/>
      <c r="J17" t="s">
        <v>222</v>
      </c>
    </row>
    <row r="18" spans="1:10" x14ac:dyDescent="0.2">
      <c r="A18" s="54" t="s">
        <v>89</v>
      </c>
      <c r="B18" s="57" t="str">
        <f t="shared" si="0"/>
        <v>DirecteurConservateurs bibliothèque patrimoine</v>
      </c>
      <c r="C18" s="96" t="s">
        <v>90</v>
      </c>
      <c r="D18" s="48" t="s">
        <v>111</v>
      </c>
      <c r="E18" s="37" t="s">
        <v>338</v>
      </c>
      <c r="F18" s="36">
        <v>1600</v>
      </c>
      <c r="G18" s="98"/>
      <c r="J18" t="s">
        <v>224</v>
      </c>
    </row>
    <row r="19" spans="1:10" x14ac:dyDescent="0.2">
      <c r="A19" s="54" t="s">
        <v>89</v>
      </c>
      <c r="B19" s="57" t="str">
        <f t="shared" si="0"/>
        <v>DirecteurConservateurs bibliothèque patrimoine</v>
      </c>
      <c r="C19" s="96" t="s">
        <v>90</v>
      </c>
      <c r="D19" s="48" t="s">
        <v>112</v>
      </c>
      <c r="E19" s="37" t="s">
        <v>338</v>
      </c>
      <c r="F19" s="36">
        <v>1600</v>
      </c>
      <c r="G19" s="98"/>
      <c r="J19" t="s">
        <v>226</v>
      </c>
    </row>
    <row r="20" spans="1:10" x14ac:dyDescent="0.2">
      <c r="A20" s="54" t="s">
        <v>89</v>
      </c>
      <c r="B20" s="57" t="str">
        <f t="shared" si="0"/>
        <v>DirecteurConseiller principal des APS</v>
      </c>
      <c r="C20" s="96" t="s">
        <v>90</v>
      </c>
      <c r="D20" s="38" t="s">
        <v>113</v>
      </c>
      <c r="E20" s="39" t="s">
        <v>114</v>
      </c>
      <c r="F20" s="40">
        <v>1600</v>
      </c>
      <c r="G20" s="97"/>
      <c r="J20" t="s">
        <v>228</v>
      </c>
    </row>
    <row r="21" spans="1:10" x14ac:dyDescent="0.2">
      <c r="A21" s="54" t="s">
        <v>89</v>
      </c>
      <c r="B21" s="57" t="str">
        <f t="shared" si="0"/>
        <v>DirecteurConseiller des APS</v>
      </c>
      <c r="C21" s="96" t="s">
        <v>90</v>
      </c>
      <c r="D21" s="38" t="s">
        <v>115</v>
      </c>
      <c r="E21" s="39" t="s">
        <v>116</v>
      </c>
      <c r="F21" s="40">
        <v>1600</v>
      </c>
      <c r="G21" s="97"/>
      <c r="J21" t="s">
        <v>230</v>
      </c>
    </row>
    <row r="22" spans="1:10" x14ac:dyDescent="0.2">
      <c r="A22" s="54" t="s">
        <v>89</v>
      </c>
      <c r="B22" s="57" t="str">
        <f t="shared" si="0"/>
        <v xml:space="preserve">DirecteurCadre supérieur de santé </v>
      </c>
      <c r="C22" s="96" t="s">
        <v>90</v>
      </c>
      <c r="D22" s="41" t="s">
        <v>117</v>
      </c>
      <c r="E22" s="42" t="s">
        <v>384</v>
      </c>
      <c r="F22" s="40">
        <v>1600</v>
      </c>
      <c r="G22" s="97"/>
      <c r="J22" t="s">
        <v>232</v>
      </c>
    </row>
    <row r="23" spans="1:10" x14ac:dyDescent="0.2">
      <c r="A23" s="54" t="s">
        <v>89</v>
      </c>
      <c r="B23" s="57" t="str">
        <f t="shared" si="0"/>
        <v>DirecteurCadre de santé</v>
      </c>
      <c r="C23" s="96" t="s">
        <v>90</v>
      </c>
      <c r="D23" s="41" t="s">
        <v>118</v>
      </c>
      <c r="E23" s="42" t="s">
        <v>163</v>
      </c>
      <c r="F23" s="40">
        <v>1600</v>
      </c>
      <c r="G23" s="97"/>
      <c r="J23" t="s">
        <v>235</v>
      </c>
    </row>
    <row r="24" spans="1:10" x14ac:dyDescent="0.2">
      <c r="A24" s="54" t="s">
        <v>119</v>
      </c>
      <c r="B24" s="57" t="str">
        <f t="shared" si="0"/>
        <v>Directeur expertise informatiqueAdministrateur</v>
      </c>
      <c r="C24" s="96" t="s">
        <v>120</v>
      </c>
      <c r="D24" s="45" t="s">
        <v>91</v>
      </c>
      <c r="E24" s="35" t="s">
        <v>92</v>
      </c>
      <c r="F24" s="36">
        <v>2625</v>
      </c>
      <c r="G24" s="159" t="s">
        <v>121</v>
      </c>
      <c r="J24" t="s">
        <v>236</v>
      </c>
    </row>
    <row r="25" spans="1:10" x14ac:dyDescent="0.2">
      <c r="A25" s="54" t="s">
        <v>119</v>
      </c>
      <c r="B25" s="57" t="str">
        <f t="shared" si="0"/>
        <v>Directeur expertise informatiqueDirecteur ter</v>
      </c>
      <c r="C25" s="96" t="s">
        <v>120</v>
      </c>
      <c r="D25" s="45" t="s">
        <v>93</v>
      </c>
      <c r="E25" s="35" t="s">
        <v>94</v>
      </c>
      <c r="F25" s="36">
        <v>2375</v>
      </c>
      <c r="G25" s="159"/>
      <c r="J25" t="s">
        <v>238</v>
      </c>
    </row>
    <row r="26" spans="1:10" x14ac:dyDescent="0.2">
      <c r="A26" s="54" t="s">
        <v>119</v>
      </c>
      <c r="B26" s="57" t="str">
        <f t="shared" si="0"/>
        <v>Directeur expertise informatiqueAttaché hors classe</v>
      </c>
      <c r="C26" s="96" t="s">
        <v>120</v>
      </c>
      <c r="D26" s="45" t="s">
        <v>95</v>
      </c>
      <c r="E26" s="35" t="s">
        <v>17</v>
      </c>
      <c r="F26" s="36">
        <v>2375</v>
      </c>
      <c r="G26" s="159"/>
      <c r="J26" t="s">
        <v>240</v>
      </c>
    </row>
    <row r="27" spans="1:10" x14ac:dyDescent="0.2">
      <c r="A27" s="54" t="s">
        <v>119</v>
      </c>
      <c r="B27" s="57" t="str">
        <f t="shared" si="0"/>
        <v>Directeur expertise informatiqueAttaché principal</v>
      </c>
      <c r="C27" s="96" t="s">
        <v>120</v>
      </c>
      <c r="D27" s="45" t="s">
        <v>96</v>
      </c>
      <c r="E27" s="35" t="s">
        <v>11</v>
      </c>
      <c r="F27" s="36">
        <v>2375</v>
      </c>
      <c r="G27" s="159"/>
      <c r="J27" t="s">
        <v>241</v>
      </c>
    </row>
    <row r="28" spans="1:10" x14ac:dyDescent="0.2">
      <c r="A28" s="54" t="s">
        <v>119</v>
      </c>
      <c r="B28" s="57" t="str">
        <f t="shared" si="0"/>
        <v>Directeur expertise informatiqueAttaché</v>
      </c>
      <c r="C28" s="96" t="s">
        <v>120</v>
      </c>
      <c r="D28" s="45" t="s">
        <v>97</v>
      </c>
      <c r="E28" s="35" t="s">
        <v>10</v>
      </c>
      <c r="F28" s="36">
        <v>2125</v>
      </c>
      <c r="G28" s="159"/>
      <c r="J28" t="s">
        <v>243</v>
      </c>
    </row>
    <row r="29" spans="1:10" x14ac:dyDescent="0.2">
      <c r="A29" s="54" t="s">
        <v>119</v>
      </c>
      <c r="B29" s="57" t="str">
        <f t="shared" si="0"/>
        <v>Directeur expertise informatiqueIngénieur en chef HCl</v>
      </c>
      <c r="C29" s="96" t="s">
        <v>120</v>
      </c>
      <c r="D29" s="45" t="s">
        <v>98</v>
      </c>
      <c r="E29" s="35" t="s">
        <v>99</v>
      </c>
      <c r="F29" s="36">
        <v>3695</v>
      </c>
      <c r="G29" s="159"/>
      <c r="J29" t="s">
        <v>154</v>
      </c>
    </row>
    <row r="30" spans="1:10" x14ac:dyDescent="0.2">
      <c r="A30" s="54" t="s">
        <v>119</v>
      </c>
      <c r="B30" s="57" t="str">
        <f t="shared" si="0"/>
        <v>Directeur expertise informatiqueIngénieur en chef</v>
      </c>
      <c r="C30" s="96" t="s">
        <v>120</v>
      </c>
      <c r="D30" s="45" t="s">
        <v>100</v>
      </c>
      <c r="E30" s="35" t="s">
        <v>101</v>
      </c>
      <c r="F30" s="36">
        <v>3695</v>
      </c>
      <c r="G30" s="159"/>
      <c r="J30" t="s">
        <v>166</v>
      </c>
    </row>
    <row r="31" spans="1:10" x14ac:dyDescent="0.2">
      <c r="A31" s="54" t="s">
        <v>119</v>
      </c>
      <c r="B31" s="57" t="str">
        <f t="shared" si="0"/>
        <v>Directeur expertise informatiqueIngénieur général</v>
      </c>
      <c r="C31" s="96" t="s">
        <v>120</v>
      </c>
      <c r="D31" s="45" t="s">
        <v>102</v>
      </c>
      <c r="E31" s="35" t="s">
        <v>103</v>
      </c>
      <c r="F31" s="36">
        <v>3695</v>
      </c>
      <c r="G31" s="159"/>
      <c r="J31" t="s">
        <v>168</v>
      </c>
    </row>
    <row r="32" spans="1:10" x14ac:dyDescent="0.2">
      <c r="A32" s="54" t="s">
        <v>119</v>
      </c>
      <c r="B32" s="57" t="str">
        <f t="shared" si="0"/>
        <v>Directeur expertise informatiqueIngénieur HCl</v>
      </c>
      <c r="C32" s="96" t="s">
        <v>120</v>
      </c>
      <c r="D32" s="48">
        <v>2724</v>
      </c>
      <c r="E32" s="37" t="s">
        <v>104</v>
      </c>
      <c r="F32" s="36">
        <v>2875</v>
      </c>
      <c r="G32" s="159"/>
      <c r="J32" t="s">
        <v>194</v>
      </c>
    </row>
    <row r="33" spans="1:10" x14ac:dyDescent="0.2">
      <c r="A33" s="54" t="s">
        <v>119</v>
      </c>
      <c r="B33" s="57" t="str">
        <f t="shared" si="0"/>
        <v>Directeur expertise informatiqueIngénieur Pal</v>
      </c>
      <c r="C33" s="96" t="s">
        <v>120</v>
      </c>
      <c r="D33" s="48">
        <v>2722</v>
      </c>
      <c r="E33" s="37" t="s">
        <v>105</v>
      </c>
      <c r="F33" s="36">
        <v>2875</v>
      </c>
      <c r="G33" s="159"/>
      <c r="J33" t="s">
        <v>198</v>
      </c>
    </row>
    <row r="34" spans="1:10" x14ac:dyDescent="0.2">
      <c r="A34" s="54" t="s">
        <v>119</v>
      </c>
      <c r="B34" s="57" t="str">
        <f t="shared" si="0"/>
        <v>Directeur expertise informatiqueIngénieur</v>
      </c>
      <c r="C34" s="96" t="s">
        <v>120</v>
      </c>
      <c r="D34" s="48">
        <v>2720</v>
      </c>
      <c r="E34" s="37" t="s">
        <v>88</v>
      </c>
      <c r="F34" s="36">
        <v>2500</v>
      </c>
      <c r="G34" s="159"/>
      <c r="J34" t="s">
        <v>167</v>
      </c>
    </row>
    <row r="35" spans="1:10" x14ac:dyDescent="0.2">
      <c r="A35" s="54" t="s">
        <v>122</v>
      </c>
      <c r="B35" s="57" t="str">
        <f t="shared" si="0"/>
        <v>Responsable de serviceDirecteur ter</v>
      </c>
      <c r="C35" s="96" t="s">
        <v>123</v>
      </c>
      <c r="D35" s="45" t="s">
        <v>93</v>
      </c>
      <c r="E35" s="35" t="s">
        <v>94</v>
      </c>
      <c r="F35" s="36">
        <v>1400</v>
      </c>
      <c r="G35" s="97"/>
      <c r="J35" t="s">
        <v>192</v>
      </c>
    </row>
    <row r="36" spans="1:10" x14ac:dyDescent="0.2">
      <c r="A36" s="54" t="s">
        <v>122</v>
      </c>
      <c r="B36" s="57" t="str">
        <f t="shared" si="0"/>
        <v>Responsable de serviceAttaché hors classe</v>
      </c>
      <c r="C36" s="96" t="s">
        <v>123</v>
      </c>
      <c r="D36" s="45" t="s">
        <v>95</v>
      </c>
      <c r="E36" s="35" t="s">
        <v>17</v>
      </c>
      <c r="F36" s="36">
        <v>1400</v>
      </c>
      <c r="G36" s="97"/>
      <c r="J36" t="s">
        <v>193</v>
      </c>
    </row>
    <row r="37" spans="1:10" x14ac:dyDescent="0.2">
      <c r="A37" s="54" t="s">
        <v>122</v>
      </c>
      <c r="B37" s="57" t="str">
        <f t="shared" si="0"/>
        <v>Responsable de serviceAttaché principal</v>
      </c>
      <c r="C37" s="96" t="s">
        <v>123</v>
      </c>
      <c r="D37" s="45" t="s">
        <v>96</v>
      </c>
      <c r="E37" s="35" t="s">
        <v>11</v>
      </c>
      <c r="F37" s="36">
        <v>1400</v>
      </c>
      <c r="G37" s="97"/>
      <c r="J37" t="s">
        <v>195</v>
      </c>
    </row>
    <row r="38" spans="1:10" x14ac:dyDescent="0.2">
      <c r="A38" s="54" t="s">
        <v>122</v>
      </c>
      <c r="B38" s="57" t="str">
        <f t="shared" si="0"/>
        <v>Responsable de serviceAttaché</v>
      </c>
      <c r="C38" s="96" t="s">
        <v>123</v>
      </c>
      <c r="D38" s="45" t="s">
        <v>97</v>
      </c>
      <c r="E38" s="35" t="s">
        <v>10</v>
      </c>
      <c r="F38" s="36">
        <v>1200</v>
      </c>
      <c r="G38" s="97"/>
      <c r="J38" t="s">
        <v>248</v>
      </c>
    </row>
    <row r="39" spans="1:10" x14ac:dyDescent="0.2">
      <c r="A39" s="54" t="s">
        <v>122</v>
      </c>
      <c r="B39" s="57" t="str">
        <f t="shared" si="0"/>
        <v>Responsable de serviceAttachés conservation principal</v>
      </c>
      <c r="C39" s="96" t="s">
        <v>123</v>
      </c>
      <c r="D39" s="45" t="s">
        <v>124</v>
      </c>
      <c r="E39" s="35" t="s">
        <v>336</v>
      </c>
      <c r="F39" s="36">
        <v>1400</v>
      </c>
      <c r="G39" s="97"/>
      <c r="J39" t="s">
        <v>250</v>
      </c>
    </row>
    <row r="40" spans="1:10" x14ac:dyDescent="0.2">
      <c r="A40" s="54" t="s">
        <v>122</v>
      </c>
      <c r="B40" s="57" t="str">
        <f t="shared" si="0"/>
        <v>Responsable de serviceAttachés conservation</v>
      </c>
      <c r="C40" s="96" t="s">
        <v>123</v>
      </c>
      <c r="D40" s="45" t="s">
        <v>125</v>
      </c>
      <c r="E40" s="35" t="s">
        <v>335</v>
      </c>
      <c r="F40" s="36">
        <v>1200</v>
      </c>
      <c r="G40" s="97"/>
      <c r="J40" t="s">
        <v>169</v>
      </c>
    </row>
    <row r="41" spans="1:10" x14ac:dyDescent="0.2">
      <c r="A41" s="54" t="s">
        <v>122</v>
      </c>
      <c r="B41" s="57" t="str">
        <f t="shared" si="0"/>
        <v>Responsable de serviceIngénieur HCl</v>
      </c>
      <c r="C41" s="96" t="s">
        <v>123</v>
      </c>
      <c r="D41" s="48">
        <v>2724</v>
      </c>
      <c r="E41" s="37" t="s">
        <v>104</v>
      </c>
      <c r="F41" s="36">
        <v>1775</v>
      </c>
      <c r="G41" s="98"/>
      <c r="J41" t="s">
        <v>253</v>
      </c>
    </row>
    <row r="42" spans="1:10" x14ac:dyDescent="0.2">
      <c r="A42" s="54" t="s">
        <v>122</v>
      </c>
      <c r="B42" s="57" t="str">
        <f t="shared" si="0"/>
        <v>Responsable de serviceIngénieur Pal</v>
      </c>
      <c r="C42" s="96" t="s">
        <v>123</v>
      </c>
      <c r="D42" s="48">
        <v>2722</v>
      </c>
      <c r="E42" s="37" t="s">
        <v>105</v>
      </c>
      <c r="F42" s="36">
        <v>1775</v>
      </c>
      <c r="G42" s="98"/>
      <c r="J42" t="s">
        <v>255</v>
      </c>
    </row>
    <row r="43" spans="1:10" x14ac:dyDescent="0.2">
      <c r="A43" s="54" t="s">
        <v>122</v>
      </c>
      <c r="B43" s="57" t="str">
        <f t="shared" si="0"/>
        <v>Responsable de serviceIngénieur</v>
      </c>
      <c r="C43" s="96" t="s">
        <v>123</v>
      </c>
      <c r="D43" s="48">
        <v>2720</v>
      </c>
      <c r="E43" s="37" t="s">
        <v>88</v>
      </c>
      <c r="F43" s="36">
        <v>1775</v>
      </c>
      <c r="G43" s="98"/>
      <c r="J43" t="s">
        <v>257</v>
      </c>
    </row>
    <row r="44" spans="1:10" x14ac:dyDescent="0.2">
      <c r="A44" s="54" t="s">
        <v>122</v>
      </c>
      <c r="B44" s="57" t="str">
        <f t="shared" si="0"/>
        <v>Responsable de serviceConservateurs bibliothèque patrimoine chef</v>
      </c>
      <c r="C44" s="96" t="s">
        <v>123</v>
      </c>
      <c r="D44" s="45" t="s">
        <v>106</v>
      </c>
      <c r="E44" s="37" t="s">
        <v>339</v>
      </c>
      <c r="F44" s="36">
        <v>1200</v>
      </c>
      <c r="G44" s="97"/>
      <c r="J44" t="s">
        <v>260</v>
      </c>
    </row>
    <row r="45" spans="1:10" x14ac:dyDescent="0.2">
      <c r="A45" s="54" t="s">
        <v>122</v>
      </c>
      <c r="B45" s="57" t="str">
        <f t="shared" si="0"/>
        <v>Responsable de serviceConservateurs bibliothèque patrimoine</v>
      </c>
      <c r="C45" s="96" t="s">
        <v>123</v>
      </c>
      <c r="D45" s="45" t="s">
        <v>107</v>
      </c>
      <c r="E45" s="37" t="s">
        <v>338</v>
      </c>
      <c r="F45" s="36">
        <v>1200</v>
      </c>
      <c r="G45" s="97"/>
      <c r="J45" t="s">
        <v>262</v>
      </c>
    </row>
    <row r="46" spans="1:10" x14ac:dyDescent="0.2">
      <c r="A46" s="54" t="s">
        <v>122</v>
      </c>
      <c r="B46" s="57" t="str">
        <f t="shared" si="0"/>
        <v>Responsable de serviceConservateurs bibliothèque patrimoine</v>
      </c>
      <c r="C46" s="96" t="s">
        <v>123</v>
      </c>
      <c r="D46" s="45" t="s">
        <v>108</v>
      </c>
      <c r="E46" s="37" t="s">
        <v>338</v>
      </c>
      <c r="F46" s="36">
        <v>1200</v>
      </c>
      <c r="G46" s="97"/>
    </row>
    <row r="47" spans="1:10" x14ac:dyDescent="0.2">
      <c r="A47" s="54" t="s">
        <v>122</v>
      </c>
      <c r="B47" s="57" t="str">
        <f t="shared" si="0"/>
        <v>Responsable de serviceConservateurs bibliothèque patrimoine chef</v>
      </c>
      <c r="C47" s="96" t="s">
        <v>123</v>
      </c>
      <c r="D47" s="45" t="s">
        <v>109</v>
      </c>
      <c r="E47" s="37" t="s">
        <v>339</v>
      </c>
      <c r="F47" s="36">
        <v>1200</v>
      </c>
      <c r="G47" s="97"/>
    </row>
    <row r="48" spans="1:10" x14ac:dyDescent="0.2">
      <c r="A48" s="54" t="s">
        <v>122</v>
      </c>
      <c r="B48" s="57" t="str">
        <f t="shared" si="0"/>
        <v>Responsable de serviceConservateurs bibliothèque patrimoine chef</v>
      </c>
      <c r="C48" s="96" t="s">
        <v>123</v>
      </c>
      <c r="D48" s="45" t="s">
        <v>110</v>
      </c>
      <c r="E48" s="37" t="s">
        <v>339</v>
      </c>
      <c r="F48" s="36">
        <v>1200</v>
      </c>
      <c r="G48" s="97"/>
    </row>
    <row r="49" spans="1:7" x14ac:dyDescent="0.2">
      <c r="A49" s="54" t="s">
        <v>122</v>
      </c>
      <c r="B49" s="57" t="str">
        <f t="shared" si="0"/>
        <v>Responsable de serviceConservateurs bibliothèque patrimoine</v>
      </c>
      <c r="C49" s="96" t="s">
        <v>123</v>
      </c>
      <c r="D49" s="45" t="s">
        <v>111</v>
      </c>
      <c r="E49" s="37" t="s">
        <v>338</v>
      </c>
      <c r="F49" s="36">
        <v>1200</v>
      </c>
      <c r="G49" s="97"/>
    </row>
    <row r="50" spans="1:7" x14ac:dyDescent="0.2">
      <c r="A50" s="54" t="s">
        <v>122</v>
      </c>
      <c r="B50" s="57" t="str">
        <f t="shared" si="0"/>
        <v>Responsable de serviceConservateurs bibliothèque patrimoine</v>
      </c>
      <c r="C50" s="96" t="s">
        <v>123</v>
      </c>
      <c r="D50" s="45" t="s">
        <v>112</v>
      </c>
      <c r="E50" s="37" t="s">
        <v>338</v>
      </c>
      <c r="F50" s="36">
        <v>1200</v>
      </c>
      <c r="G50" s="97"/>
    </row>
    <row r="51" spans="1:7" x14ac:dyDescent="0.2">
      <c r="A51" s="54" t="s">
        <v>122</v>
      </c>
      <c r="B51" s="57" t="str">
        <f t="shared" si="0"/>
        <v>Responsable de serviceConseiller principal des APS</v>
      </c>
      <c r="C51" s="96" t="s">
        <v>123</v>
      </c>
      <c r="D51" s="38" t="s">
        <v>113</v>
      </c>
      <c r="E51" s="39" t="s">
        <v>114</v>
      </c>
      <c r="F51" s="36">
        <v>1200</v>
      </c>
      <c r="G51" s="97"/>
    </row>
    <row r="52" spans="1:7" x14ac:dyDescent="0.2">
      <c r="A52" s="54" t="s">
        <v>122</v>
      </c>
      <c r="B52" s="57" t="str">
        <f t="shared" si="0"/>
        <v>Responsable de serviceConseiller des APS</v>
      </c>
      <c r="C52" s="96" t="s">
        <v>123</v>
      </c>
      <c r="D52" s="38" t="s">
        <v>115</v>
      </c>
      <c r="E52" s="39" t="s">
        <v>116</v>
      </c>
      <c r="F52" s="36">
        <v>1200</v>
      </c>
      <c r="G52" s="97"/>
    </row>
    <row r="53" spans="1:7" x14ac:dyDescent="0.2">
      <c r="A53" s="54" t="s">
        <v>122</v>
      </c>
      <c r="B53" s="57" t="str">
        <f t="shared" si="0"/>
        <v>Responsable de serviceInfirmier en soins généraux</v>
      </c>
      <c r="C53" s="96" t="s">
        <v>123</v>
      </c>
      <c r="D53" s="41" t="s">
        <v>126</v>
      </c>
      <c r="E53" s="42" t="s">
        <v>390</v>
      </c>
      <c r="F53" s="36">
        <v>1200</v>
      </c>
      <c r="G53" s="97"/>
    </row>
    <row r="54" spans="1:7" x14ac:dyDescent="0.2">
      <c r="A54" s="54" t="s">
        <v>122</v>
      </c>
      <c r="B54" s="57" t="str">
        <f t="shared" si="0"/>
        <v>Responsable de serviceInfirmier en soins généraux hors classe</v>
      </c>
      <c r="C54" s="96" t="s">
        <v>123</v>
      </c>
      <c r="D54" s="41" t="s">
        <v>127</v>
      </c>
      <c r="E54" s="42" t="s">
        <v>389</v>
      </c>
      <c r="F54" s="36">
        <v>1200</v>
      </c>
      <c r="G54" s="97"/>
    </row>
    <row r="55" spans="1:7" x14ac:dyDescent="0.2">
      <c r="A55" s="54" t="s">
        <v>122</v>
      </c>
      <c r="B55" s="57" t="str">
        <f t="shared" si="0"/>
        <v xml:space="preserve">Responsable de serviceCadre supérieur de santé </v>
      </c>
      <c r="C55" s="96" t="s">
        <v>123</v>
      </c>
      <c r="D55" s="41" t="s">
        <v>117</v>
      </c>
      <c r="E55" s="42" t="s">
        <v>384</v>
      </c>
      <c r="F55" s="36">
        <v>1200</v>
      </c>
      <c r="G55" s="97"/>
    </row>
    <row r="56" spans="1:7" x14ac:dyDescent="0.2">
      <c r="A56" s="54" t="s">
        <v>122</v>
      </c>
      <c r="B56" s="57" t="str">
        <f t="shared" si="0"/>
        <v>Responsable de serviceCadre de santé</v>
      </c>
      <c r="C56" s="96" t="s">
        <v>123</v>
      </c>
      <c r="D56" s="41" t="s">
        <v>118</v>
      </c>
      <c r="E56" s="42" t="s">
        <v>163</v>
      </c>
      <c r="F56" s="36">
        <v>1200</v>
      </c>
      <c r="G56" s="97"/>
    </row>
    <row r="57" spans="1:7" x14ac:dyDescent="0.2">
      <c r="A57" s="54" t="s">
        <v>122</v>
      </c>
      <c r="B57" s="57" t="str">
        <f t="shared" si="0"/>
        <v>Responsable de servicePsychologues de classe normale</v>
      </c>
      <c r="C57" s="96" t="s">
        <v>123</v>
      </c>
      <c r="D57" s="43" t="s">
        <v>129</v>
      </c>
      <c r="E57" s="42" t="s">
        <v>394</v>
      </c>
      <c r="F57" s="36">
        <v>1200</v>
      </c>
      <c r="G57" s="97"/>
    </row>
    <row r="58" spans="1:7" x14ac:dyDescent="0.2">
      <c r="A58" s="54" t="s">
        <v>122</v>
      </c>
      <c r="B58" s="57" t="str">
        <f t="shared" si="0"/>
        <v>Responsable de servicePsychologues hors classe</v>
      </c>
      <c r="C58" s="96" t="s">
        <v>123</v>
      </c>
      <c r="D58" s="43" t="s">
        <v>130</v>
      </c>
      <c r="E58" s="42" t="s">
        <v>393</v>
      </c>
      <c r="F58" s="36">
        <v>1200</v>
      </c>
      <c r="G58" s="97"/>
    </row>
    <row r="59" spans="1:7" x14ac:dyDescent="0.2">
      <c r="A59" s="54" t="s">
        <v>122</v>
      </c>
      <c r="B59" s="57" t="str">
        <f t="shared" si="0"/>
        <v>Responsable de servicePuéricultrices</v>
      </c>
      <c r="C59" s="96" t="s">
        <v>123</v>
      </c>
      <c r="D59" s="41">
        <v>5413</v>
      </c>
      <c r="E59" s="42" t="s">
        <v>387</v>
      </c>
      <c r="F59" s="36">
        <v>1200</v>
      </c>
      <c r="G59" s="97"/>
    </row>
    <row r="60" spans="1:7" x14ac:dyDescent="0.2">
      <c r="A60" s="54" t="s">
        <v>122</v>
      </c>
      <c r="B60" s="57" t="str">
        <f t="shared" si="0"/>
        <v>Responsable de servicePuéricultrices hors classe</v>
      </c>
      <c r="C60" s="96" t="s">
        <v>123</v>
      </c>
      <c r="D60" s="41">
        <v>5415</v>
      </c>
      <c r="E60" s="42" t="s">
        <v>388</v>
      </c>
      <c r="F60" s="36">
        <v>1200</v>
      </c>
      <c r="G60" s="97"/>
    </row>
    <row r="61" spans="1:7" x14ac:dyDescent="0.2">
      <c r="A61" s="54" t="s">
        <v>122</v>
      </c>
      <c r="B61" s="57" t="str">
        <f t="shared" si="0"/>
        <v>Responsable de serviceAssistant socio-éducatif</v>
      </c>
      <c r="C61" s="96" t="s">
        <v>123</v>
      </c>
      <c r="D61" s="45">
        <v>5931</v>
      </c>
      <c r="E61" s="42" t="s">
        <v>400</v>
      </c>
      <c r="F61" s="40">
        <v>1200</v>
      </c>
      <c r="G61" s="97"/>
    </row>
    <row r="62" spans="1:7" x14ac:dyDescent="0.2">
      <c r="A62" s="54" t="s">
        <v>122</v>
      </c>
      <c r="B62" s="57" t="str">
        <f t="shared" si="0"/>
        <v>Responsable de serviceAssistant socio-éducatif de classe exceptionnelle</v>
      </c>
      <c r="C62" s="96" t="s">
        <v>123</v>
      </c>
      <c r="D62" s="45">
        <v>5932</v>
      </c>
      <c r="E62" s="42" t="s">
        <v>399</v>
      </c>
      <c r="F62" s="40">
        <v>1200</v>
      </c>
      <c r="G62" s="97"/>
    </row>
    <row r="63" spans="1:7" x14ac:dyDescent="0.2">
      <c r="A63" s="54" t="s">
        <v>131</v>
      </c>
      <c r="B63" s="57" t="str">
        <f t="shared" si="0"/>
        <v>Responsable de service expertise informatiqueDirecteur ter</v>
      </c>
      <c r="C63" s="96" t="s">
        <v>132</v>
      </c>
      <c r="D63" s="45" t="s">
        <v>93</v>
      </c>
      <c r="E63" s="42" t="s">
        <v>94</v>
      </c>
      <c r="F63" s="36">
        <v>1925</v>
      </c>
      <c r="G63" s="97"/>
    </row>
    <row r="64" spans="1:7" x14ac:dyDescent="0.2">
      <c r="A64" s="54" t="s">
        <v>131</v>
      </c>
      <c r="B64" s="57" t="str">
        <f t="shared" si="0"/>
        <v>Responsable de service expertise informatiqueAttaché hors classe</v>
      </c>
      <c r="C64" s="96" t="s">
        <v>132</v>
      </c>
      <c r="D64" s="45" t="s">
        <v>95</v>
      </c>
      <c r="E64" s="42" t="s">
        <v>17</v>
      </c>
      <c r="F64" s="36">
        <v>1925</v>
      </c>
      <c r="G64" s="97"/>
    </row>
    <row r="65" spans="1:7" x14ac:dyDescent="0.2">
      <c r="A65" s="54" t="s">
        <v>131</v>
      </c>
      <c r="B65" s="57" t="str">
        <f t="shared" si="0"/>
        <v>Responsable de service expertise informatiqueAttaché principal</v>
      </c>
      <c r="C65" s="96" t="s">
        <v>132</v>
      </c>
      <c r="D65" s="45" t="s">
        <v>96</v>
      </c>
      <c r="E65" s="42" t="s">
        <v>11</v>
      </c>
      <c r="F65" s="36">
        <v>1925</v>
      </c>
      <c r="G65" s="97"/>
    </row>
    <row r="66" spans="1:7" x14ac:dyDescent="0.2">
      <c r="A66" s="54" t="s">
        <v>131</v>
      </c>
      <c r="B66" s="57" t="str">
        <f t="shared" ref="B66:B124" si="1">C66&amp;E66</f>
        <v>Responsable de service expertise informatiqueAttaché</v>
      </c>
      <c r="C66" s="96" t="s">
        <v>132</v>
      </c>
      <c r="D66" s="45" t="s">
        <v>97</v>
      </c>
      <c r="E66" s="42" t="s">
        <v>10</v>
      </c>
      <c r="F66" s="36">
        <v>1725</v>
      </c>
      <c r="G66" s="97"/>
    </row>
    <row r="67" spans="1:7" x14ac:dyDescent="0.2">
      <c r="A67" s="54" t="s">
        <v>131</v>
      </c>
      <c r="B67" s="57" t="str">
        <f t="shared" si="1"/>
        <v>Responsable de service expertise informatiqueIngénieur HCl</v>
      </c>
      <c r="C67" s="96" t="s">
        <v>132</v>
      </c>
      <c r="D67" s="48">
        <v>2724</v>
      </c>
      <c r="E67" s="42" t="s">
        <v>104</v>
      </c>
      <c r="F67" s="36">
        <v>2300</v>
      </c>
      <c r="G67" s="98"/>
    </row>
    <row r="68" spans="1:7" x14ac:dyDescent="0.2">
      <c r="A68" s="54" t="s">
        <v>131</v>
      </c>
      <c r="B68" s="57" t="str">
        <f t="shared" si="1"/>
        <v>Responsable de service expertise informatiqueIngénieur Pal</v>
      </c>
      <c r="C68" s="96" t="s">
        <v>132</v>
      </c>
      <c r="D68" s="48">
        <v>2722</v>
      </c>
      <c r="E68" s="42" t="s">
        <v>105</v>
      </c>
      <c r="F68" s="36">
        <v>2300</v>
      </c>
      <c r="G68" s="98"/>
    </row>
    <row r="69" spans="1:7" x14ac:dyDescent="0.2">
      <c r="A69" s="54" t="s">
        <v>131</v>
      </c>
      <c r="B69" s="57" t="str">
        <f t="shared" si="1"/>
        <v>Responsable de service expertise informatiqueIngénieur</v>
      </c>
      <c r="C69" s="96" t="s">
        <v>132</v>
      </c>
      <c r="D69" s="48">
        <v>2720</v>
      </c>
      <c r="E69" s="42" t="s">
        <v>88</v>
      </c>
      <c r="F69" s="36">
        <v>2300</v>
      </c>
      <c r="G69" s="98"/>
    </row>
    <row r="70" spans="1:7" x14ac:dyDescent="0.2">
      <c r="A70" s="54" t="s">
        <v>133</v>
      </c>
      <c r="B70" s="57" t="str">
        <f t="shared" si="1"/>
        <v>Responsable de secteurAttaché principal</v>
      </c>
      <c r="C70" s="96" t="s">
        <v>134</v>
      </c>
      <c r="D70" s="45" t="s">
        <v>96</v>
      </c>
      <c r="E70" s="42" t="s">
        <v>11</v>
      </c>
      <c r="F70" s="36">
        <v>1100</v>
      </c>
      <c r="G70" s="97"/>
    </row>
    <row r="71" spans="1:7" x14ac:dyDescent="0.2">
      <c r="A71" s="54" t="s">
        <v>133</v>
      </c>
      <c r="B71" s="57" t="str">
        <f t="shared" si="1"/>
        <v>Responsable de secteurAttaché</v>
      </c>
      <c r="C71" s="96" t="s">
        <v>134</v>
      </c>
      <c r="D71" s="45" t="s">
        <v>97</v>
      </c>
      <c r="E71" s="42" t="s">
        <v>10</v>
      </c>
      <c r="F71" s="36">
        <v>950</v>
      </c>
      <c r="G71" s="97"/>
    </row>
    <row r="72" spans="1:7" x14ac:dyDescent="0.2">
      <c r="A72" s="54" t="s">
        <v>133</v>
      </c>
      <c r="B72" s="57" t="str">
        <f t="shared" si="1"/>
        <v>Responsable de secteurIngénieur HCl</v>
      </c>
      <c r="C72" s="96" t="s">
        <v>134</v>
      </c>
      <c r="D72" s="48">
        <v>2724</v>
      </c>
      <c r="E72" s="42" t="s">
        <v>104</v>
      </c>
      <c r="F72" s="36">
        <v>1375</v>
      </c>
      <c r="G72" s="97"/>
    </row>
    <row r="73" spans="1:7" x14ac:dyDescent="0.2">
      <c r="A73" s="54" t="s">
        <v>133</v>
      </c>
      <c r="B73" s="57" t="str">
        <f t="shared" si="1"/>
        <v>Responsable de secteurIngénieur Pal</v>
      </c>
      <c r="C73" s="96" t="s">
        <v>134</v>
      </c>
      <c r="D73" s="48">
        <v>2722</v>
      </c>
      <c r="E73" s="42" t="s">
        <v>105</v>
      </c>
      <c r="F73" s="36">
        <v>1375</v>
      </c>
      <c r="G73" s="97"/>
    </row>
    <row r="74" spans="1:7" x14ac:dyDescent="0.2">
      <c r="A74" s="54" t="s">
        <v>133</v>
      </c>
      <c r="B74" s="57" t="str">
        <f t="shared" si="1"/>
        <v>Responsable de secteurIngénieur</v>
      </c>
      <c r="C74" s="96" t="s">
        <v>134</v>
      </c>
      <c r="D74" s="48">
        <v>2720</v>
      </c>
      <c r="E74" s="42" t="s">
        <v>88</v>
      </c>
      <c r="F74" s="36">
        <v>1375</v>
      </c>
      <c r="G74" s="97"/>
    </row>
    <row r="75" spans="1:7" x14ac:dyDescent="0.2">
      <c r="A75" s="54" t="s">
        <v>133</v>
      </c>
      <c r="B75" s="57" t="str">
        <f t="shared" si="1"/>
        <v>Responsable de secteurAttachés conservation principal</v>
      </c>
      <c r="C75" s="96" t="s">
        <v>134</v>
      </c>
      <c r="D75" s="45" t="s">
        <v>124</v>
      </c>
      <c r="E75" s="42" t="s">
        <v>336</v>
      </c>
      <c r="F75" s="36">
        <v>1100</v>
      </c>
      <c r="G75" s="97"/>
    </row>
    <row r="76" spans="1:7" x14ac:dyDescent="0.2">
      <c r="A76" s="54" t="s">
        <v>133</v>
      </c>
      <c r="B76" s="57" t="str">
        <f t="shared" si="1"/>
        <v>Responsable de secteurAttachés conservation</v>
      </c>
      <c r="C76" s="96" t="s">
        <v>134</v>
      </c>
      <c r="D76" s="45" t="s">
        <v>125</v>
      </c>
      <c r="E76" s="42" t="s">
        <v>335</v>
      </c>
      <c r="F76" s="36">
        <v>950</v>
      </c>
      <c r="G76" s="97"/>
    </row>
    <row r="77" spans="1:7" x14ac:dyDescent="0.2">
      <c r="A77" s="54" t="s">
        <v>133</v>
      </c>
      <c r="B77" s="57" t="str">
        <f t="shared" si="1"/>
        <v>Responsable de secteurBibliothécaire principal</v>
      </c>
      <c r="C77" s="96" t="s">
        <v>134</v>
      </c>
      <c r="D77" s="45" t="s">
        <v>135</v>
      </c>
      <c r="E77" s="42" t="s">
        <v>337</v>
      </c>
      <c r="F77" s="36">
        <v>1100</v>
      </c>
      <c r="G77" s="97"/>
    </row>
    <row r="78" spans="1:7" x14ac:dyDescent="0.2">
      <c r="A78" s="54" t="s">
        <v>133</v>
      </c>
      <c r="B78" s="57" t="str">
        <f t="shared" si="1"/>
        <v>Responsable de secteurBibliothécaire</v>
      </c>
      <c r="C78" s="96" t="s">
        <v>134</v>
      </c>
      <c r="D78" s="45" t="s">
        <v>136</v>
      </c>
      <c r="E78" s="42" t="s">
        <v>137</v>
      </c>
      <c r="F78" s="36">
        <v>950</v>
      </c>
      <c r="G78" s="97"/>
    </row>
    <row r="79" spans="1:7" x14ac:dyDescent="0.2">
      <c r="A79" s="54" t="s">
        <v>133</v>
      </c>
      <c r="B79" s="57" t="str">
        <f t="shared" si="1"/>
        <v>Responsable de secteurConseiller principal des APS</v>
      </c>
      <c r="C79" s="96" t="s">
        <v>134</v>
      </c>
      <c r="D79" s="38" t="s">
        <v>113</v>
      </c>
      <c r="E79" s="42" t="s">
        <v>114</v>
      </c>
      <c r="F79" s="36">
        <v>950</v>
      </c>
      <c r="G79" s="97"/>
    </row>
    <row r="80" spans="1:7" x14ac:dyDescent="0.2">
      <c r="A80" s="54" t="s">
        <v>133</v>
      </c>
      <c r="B80" s="57" t="str">
        <f t="shared" si="1"/>
        <v>Responsable de secteurConseiller des APS</v>
      </c>
      <c r="C80" s="96" t="s">
        <v>134</v>
      </c>
      <c r="D80" s="38" t="s">
        <v>115</v>
      </c>
      <c r="E80" s="42" t="s">
        <v>116</v>
      </c>
      <c r="F80" s="36">
        <v>950</v>
      </c>
      <c r="G80" s="97"/>
    </row>
    <row r="81" spans="1:7" x14ac:dyDescent="0.2">
      <c r="A81" s="54" t="s">
        <v>133</v>
      </c>
      <c r="B81" s="57" t="str">
        <f t="shared" si="1"/>
        <v>Responsable de secteurCadre de santé</v>
      </c>
      <c r="C81" s="96" t="s">
        <v>134</v>
      </c>
      <c r="D81" s="41" t="s">
        <v>118</v>
      </c>
      <c r="E81" s="42" t="s">
        <v>163</v>
      </c>
      <c r="F81" s="40">
        <v>950</v>
      </c>
      <c r="G81" s="97"/>
    </row>
    <row r="82" spans="1:7" x14ac:dyDescent="0.2">
      <c r="A82" s="54" t="s">
        <v>133</v>
      </c>
      <c r="B82" s="57" t="str">
        <f t="shared" si="1"/>
        <v xml:space="preserve">Responsable de secteurCadre supérieur de santé </v>
      </c>
      <c r="C82" s="96" t="s">
        <v>134</v>
      </c>
      <c r="D82" s="41" t="s">
        <v>117</v>
      </c>
      <c r="E82" s="42" t="s">
        <v>384</v>
      </c>
      <c r="F82" s="40">
        <v>950</v>
      </c>
      <c r="G82" s="97"/>
    </row>
    <row r="83" spans="1:7" x14ac:dyDescent="0.2">
      <c r="A83" s="54" t="s">
        <v>133</v>
      </c>
      <c r="B83" s="57" t="str">
        <f t="shared" si="1"/>
        <v>Responsable de secteurPsychologues de classe normale</v>
      </c>
      <c r="C83" s="96" t="s">
        <v>134</v>
      </c>
      <c r="D83" s="43" t="s">
        <v>129</v>
      </c>
      <c r="E83" s="42" t="s">
        <v>394</v>
      </c>
      <c r="F83" s="40">
        <v>950</v>
      </c>
      <c r="G83" s="97"/>
    </row>
    <row r="84" spans="1:7" x14ac:dyDescent="0.2">
      <c r="A84" s="54" t="s">
        <v>133</v>
      </c>
      <c r="B84" s="57" t="str">
        <f t="shared" si="1"/>
        <v>Responsable de secteurPsychologues hors classe</v>
      </c>
      <c r="C84" s="96" t="s">
        <v>134</v>
      </c>
      <c r="D84" s="43" t="s">
        <v>130</v>
      </c>
      <c r="E84" s="42" t="s">
        <v>393</v>
      </c>
      <c r="F84" s="40">
        <v>950</v>
      </c>
      <c r="G84" s="97"/>
    </row>
    <row r="85" spans="1:7" x14ac:dyDescent="0.2">
      <c r="A85" s="54" t="s">
        <v>133</v>
      </c>
      <c r="B85" s="57" t="str">
        <f t="shared" si="1"/>
        <v>Responsable de secteurInfirmier en soins généraux</v>
      </c>
      <c r="C85" s="96" t="s">
        <v>134</v>
      </c>
      <c r="D85" s="41" t="s">
        <v>127</v>
      </c>
      <c r="E85" s="42" t="s">
        <v>390</v>
      </c>
      <c r="F85" s="40">
        <v>950</v>
      </c>
      <c r="G85" s="97"/>
    </row>
    <row r="86" spans="1:7" x14ac:dyDescent="0.2">
      <c r="A86" s="54" t="s">
        <v>133</v>
      </c>
      <c r="B86" s="57" t="str">
        <f t="shared" si="1"/>
        <v>Responsable de secteurInfirmier en soins généraux hors classe</v>
      </c>
      <c r="C86" s="96" t="s">
        <v>134</v>
      </c>
      <c r="D86" s="41" t="s">
        <v>138</v>
      </c>
      <c r="E86" s="42" t="s">
        <v>389</v>
      </c>
      <c r="F86" s="40">
        <v>950</v>
      </c>
      <c r="G86" s="97"/>
    </row>
    <row r="87" spans="1:7" x14ac:dyDescent="0.2">
      <c r="A87" s="54" t="s">
        <v>133</v>
      </c>
      <c r="B87" s="57" t="str">
        <f t="shared" si="1"/>
        <v>Responsable de secteurPuéricultrices</v>
      </c>
      <c r="C87" s="96" t="s">
        <v>134</v>
      </c>
      <c r="D87" s="47">
        <v>5413</v>
      </c>
      <c r="E87" s="42" t="s">
        <v>387</v>
      </c>
      <c r="F87" s="40">
        <v>950</v>
      </c>
      <c r="G87" s="97"/>
    </row>
    <row r="88" spans="1:7" x14ac:dyDescent="0.2">
      <c r="A88" s="54" t="s">
        <v>133</v>
      </c>
      <c r="B88" s="57" t="str">
        <f t="shared" si="1"/>
        <v>Responsable de secteurPuéricultrices hors classe</v>
      </c>
      <c r="C88" s="96" t="s">
        <v>134</v>
      </c>
      <c r="D88" s="47">
        <v>5415</v>
      </c>
      <c r="E88" s="42" t="s">
        <v>388</v>
      </c>
      <c r="F88" s="40">
        <v>950</v>
      </c>
      <c r="G88" s="97"/>
    </row>
    <row r="89" spans="1:7" x14ac:dyDescent="0.2">
      <c r="A89" s="54" t="s">
        <v>133</v>
      </c>
      <c r="B89" s="57" t="str">
        <f t="shared" si="1"/>
        <v>Responsable de secteurAssistant socio-éducatif</v>
      </c>
      <c r="C89" s="96" t="s">
        <v>134</v>
      </c>
      <c r="D89" s="48">
        <v>5931</v>
      </c>
      <c r="E89" s="42" t="s">
        <v>400</v>
      </c>
      <c r="F89" s="40">
        <v>950</v>
      </c>
      <c r="G89" s="97"/>
    </row>
    <row r="90" spans="1:7" x14ac:dyDescent="0.2">
      <c r="A90" s="54" t="s">
        <v>133</v>
      </c>
      <c r="B90" s="57" t="str">
        <f t="shared" si="1"/>
        <v>Responsable de secteurAssistant socio-éducatif de classe exceptionnelle</v>
      </c>
      <c r="C90" s="96" t="s">
        <v>134</v>
      </c>
      <c r="D90" s="48">
        <v>5932</v>
      </c>
      <c r="E90" s="42" t="s">
        <v>399</v>
      </c>
      <c r="F90" s="40">
        <v>950</v>
      </c>
      <c r="G90" s="97"/>
    </row>
    <row r="91" spans="1:7" x14ac:dyDescent="0.2">
      <c r="A91" s="54" t="s">
        <v>133</v>
      </c>
      <c r="B91" s="57" t="str">
        <f t="shared" si="1"/>
        <v>Responsable de secteurEducateur de jeunes enfants</v>
      </c>
      <c r="C91" s="96" t="s">
        <v>134</v>
      </c>
      <c r="D91" s="41" t="s">
        <v>139</v>
      </c>
      <c r="E91" s="42" t="s">
        <v>410</v>
      </c>
      <c r="F91" s="40">
        <v>950</v>
      </c>
      <c r="G91" s="97"/>
    </row>
    <row r="92" spans="1:7" x14ac:dyDescent="0.2">
      <c r="A92" s="54" t="s">
        <v>133</v>
      </c>
      <c r="B92" s="57" t="str">
        <f t="shared" si="1"/>
        <v>Responsable de secteurEducateur de jeunes enfants de classe exceptionnelle</v>
      </c>
      <c r="C92" s="96" t="s">
        <v>134</v>
      </c>
      <c r="D92" s="41" t="s">
        <v>140</v>
      </c>
      <c r="E92" s="42" t="s">
        <v>411</v>
      </c>
      <c r="F92" s="40">
        <v>950</v>
      </c>
      <c r="G92" s="97"/>
    </row>
    <row r="93" spans="1:7" x14ac:dyDescent="0.2">
      <c r="A93" s="54" t="s">
        <v>141</v>
      </c>
      <c r="B93" s="57" t="str">
        <f t="shared" si="1"/>
        <v>Responsable de secteur expertise informatiqueAttaché principal</v>
      </c>
      <c r="C93" s="96" t="s">
        <v>142</v>
      </c>
      <c r="D93" s="45" t="s">
        <v>96</v>
      </c>
      <c r="E93" s="42" t="s">
        <v>11</v>
      </c>
      <c r="F93" s="36">
        <v>1625</v>
      </c>
      <c r="G93" s="97"/>
    </row>
    <row r="94" spans="1:7" x14ac:dyDescent="0.2">
      <c r="A94" s="54" t="s">
        <v>141</v>
      </c>
      <c r="B94" s="57" t="str">
        <f t="shared" si="1"/>
        <v>Responsable de secteur expertise informatiqueAttaché</v>
      </c>
      <c r="C94" s="96" t="s">
        <v>142</v>
      </c>
      <c r="D94" s="45" t="s">
        <v>97</v>
      </c>
      <c r="E94" s="42" t="s">
        <v>10</v>
      </c>
      <c r="F94" s="36">
        <v>1475</v>
      </c>
      <c r="G94" s="97"/>
    </row>
    <row r="95" spans="1:7" x14ac:dyDescent="0.2">
      <c r="A95" s="54" t="s">
        <v>141</v>
      </c>
      <c r="B95" s="57" t="str">
        <f t="shared" si="1"/>
        <v>Responsable de secteur expertise informatiqueIngénieur HCl</v>
      </c>
      <c r="C95" s="96" t="s">
        <v>142</v>
      </c>
      <c r="D95" s="48">
        <v>2724</v>
      </c>
      <c r="E95" s="42" t="s">
        <v>104</v>
      </c>
      <c r="F95" s="36">
        <v>1900</v>
      </c>
      <c r="G95" s="97"/>
    </row>
    <row r="96" spans="1:7" x14ac:dyDescent="0.2">
      <c r="A96" s="54" t="s">
        <v>141</v>
      </c>
      <c r="B96" s="57" t="str">
        <f t="shared" si="1"/>
        <v>Responsable de secteur expertise informatiqueIngénieur Pal</v>
      </c>
      <c r="C96" s="96" t="s">
        <v>142</v>
      </c>
      <c r="D96" s="48">
        <v>2722</v>
      </c>
      <c r="E96" s="42" t="s">
        <v>105</v>
      </c>
      <c r="F96" s="36">
        <v>1900</v>
      </c>
      <c r="G96" s="97"/>
    </row>
    <row r="97" spans="1:7" x14ac:dyDescent="0.2">
      <c r="A97" s="54" t="s">
        <v>141</v>
      </c>
      <c r="B97" s="57" t="str">
        <f t="shared" si="1"/>
        <v>Responsable de secteur expertise informatiqueIngénieur</v>
      </c>
      <c r="C97" s="96" t="s">
        <v>142</v>
      </c>
      <c r="D97" s="48">
        <v>2720</v>
      </c>
      <c r="E97" s="42" t="s">
        <v>88</v>
      </c>
      <c r="F97" s="36">
        <v>1900</v>
      </c>
      <c r="G97" s="97"/>
    </row>
    <row r="98" spans="1:7" x14ac:dyDescent="0.2">
      <c r="A98" s="44" t="s">
        <v>143</v>
      </c>
      <c r="B98" s="48" t="str">
        <f t="shared" si="1"/>
        <v>Responsable de secteur-Sujétions niv 2Infirmier en soins généraux</v>
      </c>
      <c r="C98" s="100" t="s">
        <v>144</v>
      </c>
      <c r="D98" s="45" t="s">
        <v>128</v>
      </c>
      <c r="E98" s="42" t="s">
        <v>390</v>
      </c>
      <c r="F98" s="36">
        <v>965</v>
      </c>
      <c r="G98" s="159" t="s">
        <v>145</v>
      </c>
    </row>
    <row r="99" spans="1:7" x14ac:dyDescent="0.2">
      <c r="A99" s="44" t="s">
        <v>143</v>
      </c>
      <c r="B99" s="48" t="str">
        <f t="shared" si="1"/>
        <v>Responsable de secteur-Sujétions niv 2Infirmier en soins généraux hors classe</v>
      </c>
      <c r="C99" s="100" t="s">
        <v>144</v>
      </c>
      <c r="D99" s="45" t="s">
        <v>127</v>
      </c>
      <c r="E99" s="42" t="s">
        <v>389</v>
      </c>
      <c r="F99" s="36">
        <v>965</v>
      </c>
      <c r="G99" s="159"/>
    </row>
    <row r="100" spans="1:7" x14ac:dyDescent="0.2">
      <c r="A100" s="44" t="s">
        <v>143</v>
      </c>
      <c r="B100" s="48" t="str">
        <f t="shared" si="1"/>
        <v>Responsable de secteur-Sujétions niv 2Cadre de santé</v>
      </c>
      <c r="C100" s="100" t="s">
        <v>144</v>
      </c>
      <c r="D100" s="45" t="s">
        <v>118</v>
      </c>
      <c r="E100" s="42" t="s">
        <v>163</v>
      </c>
      <c r="F100" s="36">
        <v>965</v>
      </c>
      <c r="G100" s="159"/>
    </row>
    <row r="101" spans="1:7" x14ac:dyDescent="0.2">
      <c r="A101" s="44" t="s">
        <v>143</v>
      </c>
      <c r="B101" s="48" t="str">
        <f t="shared" si="1"/>
        <v xml:space="preserve">Responsable de secteur-Sujétions niv 2Cadre supérieur de santé </v>
      </c>
      <c r="C101" s="100" t="s">
        <v>144</v>
      </c>
      <c r="D101" s="45" t="s">
        <v>117</v>
      </c>
      <c r="E101" s="42" t="s">
        <v>384</v>
      </c>
      <c r="F101" s="36">
        <v>965</v>
      </c>
      <c r="G101" s="159"/>
    </row>
    <row r="102" spans="1:7" x14ac:dyDescent="0.2">
      <c r="A102" s="54" t="s">
        <v>146</v>
      </c>
      <c r="B102" s="57" t="str">
        <f t="shared" si="1"/>
        <v>Responsable d'unitéAttaché</v>
      </c>
      <c r="C102" s="96" t="s">
        <v>147</v>
      </c>
      <c r="D102" s="45" t="s">
        <v>97</v>
      </c>
      <c r="E102" s="42" t="s">
        <v>10</v>
      </c>
      <c r="F102" s="36">
        <v>790</v>
      </c>
      <c r="G102" s="97"/>
    </row>
    <row r="103" spans="1:7" x14ac:dyDescent="0.2">
      <c r="A103" s="54" t="s">
        <v>146</v>
      </c>
      <c r="B103" s="57" t="str">
        <f t="shared" si="1"/>
        <v>Responsable d'unitéAttaché principal</v>
      </c>
      <c r="C103" s="96" t="s">
        <v>147</v>
      </c>
      <c r="D103" s="45" t="s">
        <v>96</v>
      </c>
      <c r="E103" s="42" t="s">
        <v>11</v>
      </c>
      <c r="F103" s="36">
        <v>930</v>
      </c>
      <c r="G103" s="97"/>
    </row>
    <row r="104" spans="1:7" x14ac:dyDescent="0.2">
      <c r="A104" s="54" t="s">
        <v>146</v>
      </c>
      <c r="B104" s="57" t="str">
        <f t="shared" si="1"/>
        <v>Responsable d'unitéAttachés conservation</v>
      </c>
      <c r="C104" s="96" t="s">
        <v>147</v>
      </c>
      <c r="D104" s="45" t="s">
        <v>125</v>
      </c>
      <c r="E104" s="42" t="s">
        <v>335</v>
      </c>
      <c r="F104" s="36">
        <v>790</v>
      </c>
      <c r="G104" s="97"/>
    </row>
    <row r="105" spans="1:7" x14ac:dyDescent="0.2">
      <c r="A105" s="54" t="s">
        <v>146</v>
      </c>
      <c r="B105" s="57" t="str">
        <f t="shared" si="1"/>
        <v>Responsable d'unitéAttachés conservation principal</v>
      </c>
      <c r="C105" s="96" t="s">
        <v>147</v>
      </c>
      <c r="D105" s="45" t="s">
        <v>124</v>
      </c>
      <c r="E105" s="42" t="s">
        <v>336</v>
      </c>
      <c r="F105" s="36">
        <v>930</v>
      </c>
      <c r="G105" s="97"/>
    </row>
    <row r="106" spans="1:7" x14ac:dyDescent="0.2">
      <c r="A106" s="54" t="s">
        <v>146</v>
      </c>
      <c r="B106" s="57" t="str">
        <f t="shared" si="1"/>
        <v>Responsable d'unitéBibliothécaire</v>
      </c>
      <c r="C106" s="96" t="s">
        <v>147</v>
      </c>
      <c r="D106" s="45" t="s">
        <v>136</v>
      </c>
      <c r="E106" s="42" t="s">
        <v>137</v>
      </c>
      <c r="F106" s="36">
        <v>790</v>
      </c>
      <c r="G106" s="97"/>
    </row>
    <row r="107" spans="1:7" x14ac:dyDescent="0.2">
      <c r="A107" s="54" t="s">
        <v>146</v>
      </c>
      <c r="B107" s="57" t="str">
        <f t="shared" si="1"/>
        <v>Responsable d'unitéBibliothécaire principal</v>
      </c>
      <c r="C107" s="96" t="s">
        <v>147</v>
      </c>
      <c r="D107" s="45" t="s">
        <v>135</v>
      </c>
      <c r="E107" s="42" t="s">
        <v>337</v>
      </c>
      <c r="F107" s="36">
        <v>930</v>
      </c>
      <c r="G107" s="97"/>
    </row>
    <row r="108" spans="1:7" x14ac:dyDescent="0.2">
      <c r="A108" s="54" t="s">
        <v>146</v>
      </c>
      <c r="B108" s="57" t="str">
        <f t="shared" si="1"/>
        <v>Responsable d'unitéConseiller des APS</v>
      </c>
      <c r="C108" s="96" t="s">
        <v>147</v>
      </c>
      <c r="D108" s="38" t="s">
        <v>115</v>
      </c>
      <c r="E108" s="42" t="s">
        <v>116</v>
      </c>
      <c r="F108" s="40">
        <v>790</v>
      </c>
      <c r="G108" s="97"/>
    </row>
    <row r="109" spans="1:7" x14ac:dyDescent="0.2">
      <c r="A109" s="54" t="s">
        <v>146</v>
      </c>
      <c r="B109" s="57" t="str">
        <f t="shared" si="1"/>
        <v>Responsable d'unitéConseiller principal des APS</v>
      </c>
      <c r="C109" s="96" t="s">
        <v>147</v>
      </c>
      <c r="D109" s="38" t="s">
        <v>113</v>
      </c>
      <c r="E109" s="42" t="s">
        <v>114</v>
      </c>
      <c r="F109" s="40">
        <v>790</v>
      </c>
      <c r="G109" s="97"/>
    </row>
    <row r="110" spans="1:7" x14ac:dyDescent="0.2">
      <c r="A110" s="54" t="s">
        <v>146</v>
      </c>
      <c r="B110" s="57" t="str">
        <f t="shared" si="1"/>
        <v>Responsable d'unitéCadre de santé</v>
      </c>
      <c r="C110" s="96" t="s">
        <v>147</v>
      </c>
      <c r="D110" s="41" t="s">
        <v>118</v>
      </c>
      <c r="E110" s="42" t="s">
        <v>163</v>
      </c>
      <c r="F110" s="40">
        <v>790</v>
      </c>
      <c r="G110" s="97"/>
    </row>
    <row r="111" spans="1:7" x14ac:dyDescent="0.2">
      <c r="A111" s="54" t="s">
        <v>146</v>
      </c>
      <c r="B111" s="57" t="str">
        <f t="shared" si="1"/>
        <v xml:space="preserve">Responsable d'unitéCadre supérieur de santé </v>
      </c>
      <c r="C111" s="96" t="s">
        <v>147</v>
      </c>
      <c r="D111" s="41" t="s">
        <v>117</v>
      </c>
      <c r="E111" s="42" t="s">
        <v>384</v>
      </c>
      <c r="F111" s="40">
        <v>790</v>
      </c>
      <c r="G111" s="97"/>
    </row>
    <row r="112" spans="1:7" x14ac:dyDescent="0.2">
      <c r="A112" s="54" t="s">
        <v>146</v>
      </c>
      <c r="B112" s="57" t="str">
        <f t="shared" si="1"/>
        <v>Responsable d'unitéPsychologues de classe normale</v>
      </c>
      <c r="C112" s="96" t="s">
        <v>147</v>
      </c>
      <c r="D112" s="46" t="s">
        <v>129</v>
      </c>
      <c r="E112" s="42" t="s">
        <v>394</v>
      </c>
      <c r="F112" s="40">
        <v>790</v>
      </c>
      <c r="G112" s="97"/>
    </row>
    <row r="113" spans="1:7" x14ac:dyDescent="0.2">
      <c r="A113" s="54" t="s">
        <v>146</v>
      </c>
      <c r="B113" s="57" t="str">
        <f t="shared" si="1"/>
        <v>Responsable d'unitéPsychologues hors classe</v>
      </c>
      <c r="C113" s="96" t="s">
        <v>147</v>
      </c>
      <c r="D113" s="46" t="s">
        <v>130</v>
      </c>
      <c r="E113" s="42" t="s">
        <v>393</v>
      </c>
      <c r="F113" s="40">
        <v>790</v>
      </c>
      <c r="G113" s="97"/>
    </row>
    <row r="114" spans="1:7" x14ac:dyDescent="0.2">
      <c r="A114" s="54" t="s">
        <v>146</v>
      </c>
      <c r="B114" s="57" t="str">
        <f t="shared" si="1"/>
        <v>Responsable d'unitéInfirmier en soins généraux</v>
      </c>
      <c r="C114" s="96" t="s">
        <v>147</v>
      </c>
      <c r="D114" s="41" t="s">
        <v>127</v>
      </c>
      <c r="E114" s="42" t="s">
        <v>390</v>
      </c>
      <c r="F114" s="40">
        <v>790</v>
      </c>
      <c r="G114" s="97"/>
    </row>
    <row r="115" spans="1:7" x14ac:dyDescent="0.2">
      <c r="A115" s="54" t="s">
        <v>146</v>
      </c>
      <c r="B115" s="57" t="str">
        <f t="shared" si="1"/>
        <v>Responsable d'unitéInfirmier en soins généraux hors classe</v>
      </c>
      <c r="C115" s="96" t="s">
        <v>147</v>
      </c>
      <c r="D115" s="41" t="s">
        <v>128</v>
      </c>
      <c r="E115" s="42" t="s">
        <v>389</v>
      </c>
      <c r="F115" s="40">
        <v>790</v>
      </c>
      <c r="G115" s="97"/>
    </row>
    <row r="116" spans="1:7" x14ac:dyDescent="0.2">
      <c r="A116" s="54" t="s">
        <v>146</v>
      </c>
      <c r="B116" s="57" t="str">
        <f t="shared" si="1"/>
        <v>Responsable d'unitéPuéricultrices</v>
      </c>
      <c r="C116" s="96" t="s">
        <v>147</v>
      </c>
      <c r="D116" s="47">
        <v>5413</v>
      </c>
      <c r="E116" s="42" t="s">
        <v>387</v>
      </c>
      <c r="F116" s="40">
        <v>790</v>
      </c>
      <c r="G116" s="97"/>
    </row>
    <row r="117" spans="1:7" x14ac:dyDescent="0.2">
      <c r="A117" s="54" t="s">
        <v>146</v>
      </c>
      <c r="B117" s="57" t="str">
        <f t="shared" si="1"/>
        <v>Responsable d'unitéPuéricultrices hors classe</v>
      </c>
      <c r="C117" s="96" t="s">
        <v>147</v>
      </c>
      <c r="D117" s="47">
        <v>5415</v>
      </c>
      <c r="E117" s="42" t="s">
        <v>388</v>
      </c>
      <c r="F117" s="40">
        <v>790</v>
      </c>
      <c r="G117" s="97"/>
    </row>
    <row r="118" spans="1:7" x14ac:dyDescent="0.2">
      <c r="A118" s="54" t="s">
        <v>146</v>
      </c>
      <c r="B118" s="57" t="str">
        <f t="shared" si="1"/>
        <v>Responsable d'unitéEducateur de jeunes enfants</v>
      </c>
      <c r="C118" s="96" t="s">
        <v>147</v>
      </c>
      <c r="D118" s="41" t="s">
        <v>139</v>
      </c>
      <c r="E118" s="42" t="s">
        <v>410</v>
      </c>
      <c r="F118" s="40">
        <v>790</v>
      </c>
      <c r="G118" s="97"/>
    </row>
    <row r="119" spans="1:7" x14ac:dyDescent="0.2">
      <c r="A119" s="54" t="s">
        <v>146</v>
      </c>
      <c r="B119" s="57" t="str">
        <f t="shared" si="1"/>
        <v>Responsable d'unitéEducateur de jeunes enfants de classe exceptionnelle</v>
      </c>
      <c r="C119" s="96" t="s">
        <v>147</v>
      </c>
      <c r="D119" s="41" t="s">
        <v>140</v>
      </c>
      <c r="E119" s="42" t="s">
        <v>411</v>
      </c>
      <c r="F119" s="40">
        <v>790</v>
      </c>
      <c r="G119" s="97"/>
    </row>
    <row r="120" spans="1:7" x14ac:dyDescent="0.2">
      <c r="A120" s="54" t="s">
        <v>146</v>
      </c>
      <c r="B120" s="57" t="str">
        <f t="shared" si="1"/>
        <v>Responsable d'unitéAssistant socio-éducatif</v>
      </c>
      <c r="C120" s="96" t="s">
        <v>147</v>
      </c>
      <c r="D120" s="48">
        <v>5931</v>
      </c>
      <c r="E120" s="42" t="s">
        <v>400</v>
      </c>
      <c r="F120" s="40">
        <v>790</v>
      </c>
      <c r="G120" s="97"/>
    </row>
    <row r="121" spans="1:7" x14ac:dyDescent="0.2">
      <c r="A121" s="54" t="s">
        <v>146</v>
      </c>
      <c r="B121" s="57" t="str">
        <f t="shared" si="1"/>
        <v>Responsable d'unitéAssistant socio-éducatif de classe exceptionnelle</v>
      </c>
      <c r="C121" s="96" t="s">
        <v>147</v>
      </c>
      <c r="D121" s="48">
        <v>5932</v>
      </c>
      <c r="E121" s="42" t="s">
        <v>399</v>
      </c>
      <c r="F121" s="40">
        <v>790</v>
      </c>
      <c r="G121" s="97"/>
    </row>
    <row r="122" spans="1:7" x14ac:dyDescent="0.2">
      <c r="A122" s="54" t="s">
        <v>148</v>
      </c>
      <c r="B122" s="57" t="str">
        <f t="shared" si="1"/>
        <v>Responsable d'unité expertise informatiqueAttaché</v>
      </c>
      <c r="C122" s="96" t="s">
        <v>149</v>
      </c>
      <c r="D122" s="45" t="s">
        <v>97</v>
      </c>
      <c r="E122" s="42" t="s">
        <v>10</v>
      </c>
      <c r="F122" s="36">
        <v>1315</v>
      </c>
      <c r="G122" s="97"/>
    </row>
    <row r="123" spans="1:7" x14ac:dyDescent="0.2">
      <c r="A123" s="54" t="s">
        <v>148</v>
      </c>
      <c r="B123" s="57" t="str">
        <f t="shared" si="1"/>
        <v>Responsable d'unité expertise informatiqueAttaché principal</v>
      </c>
      <c r="C123" s="96" t="s">
        <v>149</v>
      </c>
      <c r="D123" s="45" t="s">
        <v>96</v>
      </c>
      <c r="E123" s="42" t="s">
        <v>11</v>
      </c>
      <c r="F123" s="36">
        <v>1455</v>
      </c>
      <c r="G123" s="97"/>
    </row>
    <row r="124" spans="1:7" x14ac:dyDescent="0.2">
      <c r="A124" s="54" t="s">
        <v>150</v>
      </c>
      <c r="B124" s="57" t="str">
        <f t="shared" si="1"/>
        <v>Responsable d'équipeAttaché</v>
      </c>
      <c r="C124" s="96" t="s">
        <v>151</v>
      </c>
      <c r="D124" s="45" t="s">
        <v>97</v>
      </c>
      <c r="E124" s="42" t="s">
        <v>10</v>
      </c>
      <c r="F124" s="36">
        <v>790</v>
      </c>
      <c r="G124" s="97"/>
    </row>
    <row r="125" spans="1:7" x14ac:dyDescent="0.2">
      <c r="A125" s="54" t="s">
        <v>150</v>
      </c>
      <c r="B125" s="57" t="str">
        <f t="shared" ref="B125:B180" si="2">C125&amp;E125</f>
        <v>Responsable d'équipeAttaché principal</v>
      </c>
      <c r="C125" s="96" t="s">
        <v>151</v>
      </c>
      <c r="D125" s="45" t="s">
        <v>96</v>
      </c>
      <c r="E125" s="42" t="s">
        <v>11</v>
      </c>
      <c r="F125" s="36">
        <v>930</v>
      </c>
      <c r="G125" s="97"/>
    </row>
    <row r="126" spans="1:7" x14ac:dyDescent="0.2">
      <c r="A126" s="54" t="s">
        <v>150</v>
      </c>
      <c r="B126" s="57" t="str">
        <f t="shared" si="2"/>
        <v>Responsable d'équipeAttachés conservation</v>
      </c>
      <c r="C126" s="96" t="s">
        <v>151</v>
      </c>
      <c r="D126" s="45" t="s">
        <v>125</v>
      </c>
      <c r="E126" s="42" t="s">
        <v>335</v>
      </c>
      <c r="F126" s="36">
        <v>790</v>
      </c>
      <c r="G126" s="97"/>
    </row>
    <row r="127" spans="1:7" x14ac:dyDescent="0.2">
      <c r="A127" s="54" t="s">
        <v>150</v>
      </c>
      <c r="B127" s="57" t="str">
        <f t="shared" si="2"/>
        <v>Responsable d'équipeAttachés conservation principal</v>
      </c>
      <c r="C127" s="96" t="s">
        <v>151</v>
      </c>
      <c r="D127" s="45" t="s">
        <v>124</v>
      </c>
      <c r="E127" s="42" t="s">
        <v>336</v>
      </c>
      <c r="F127" s="36">
        <v>930</v>
      </c>
      <c r="G127" s="97"/>
    </row>
    <row r="128" spans="1:7" x14ac:dyDescent="0.2">
      <c r="A128" s="54" t="s">
        <v>150</v>
      </c>
      <c r="B128" s="57" t="str">
        <f t="shared" si="2"/>
        <v>Responsable d'équipeBibliothécaire</v>
      </c>
      <c r="C128" s="96" t="s">
        <v>151</v>
      </c>
      <c r="D128" s="45" t="s">
        <v>136</v>
      </c>
      <c r="E128" s="42" t="s">
        <v>137</v>
      </c>
      <c r="F128" s="36">
        <v>790</v>
      </c>
      <c r="G128" s="97"/>
    </row>
    <row r="129" spans="1:7" x14ac:dyDescent="0.2">
      <c r="A129" s="54" t="s">
        <v>150</v>
      </c>
      <c r="B129" s="57" t="str">
        <f t="shared" si="2"/>
        <v>Responsable d'équipeBibliothécaire principal</v>
      </c>
      <c r="C129" s="96" t="s">
        <v>151</v>
      </c>
      <c r="D129" s="45" t="s">
        <v>135</v>
      </c>
      <c r="E129" s="42" t="s">
        <v>337</v>
      </c>
      <c r="F129" s="36">
        <v>930</v>
      </c>
      <c r="G129" s="97"/>
    </row>
    <row r="130" spans="1:7" x14ac:dyDescent="0.2">
      <c r="A130" s="54" t="s">
        <v>150</v>
      </c>
      <c r="B130" s="57" t="str">
        <f t="shared" si="2"/>
        <v>Responsable d'équipeConseiller des APS</v>
      </c>
      <c r="C130" s="96" t="s">
        <v>151</v>
      </c>
      <c r="D130" s="38" t="s">
        <v>115</v>
      </c>
      <c r="E130" s="42" t="s">
        <v>116</v>
      </c>
      <c r="F130" s="40">
        <v>790</v>
      </c>
      <c r="G130" s="97"/>
    </row>
    <row r="131" spans="1:7" x14ac:dyDescent="0.2">
      <c r="A131" s="54" t="s">
        <v>150</v>
      </c>
      <c r="B131" s="57" t="str">
        <f t="shared" si="2"/>
        <v>Responsable d'équipeConseiller principal des APS</v>
      </c>
      <c r="C131" s="96" t="s">
        <v>151</v>
      </c>
      <c r="D131" s="38" t="s">
        <v>113</v>
      </c>
      <c r="E131" s="42" t="s">
        <v>114</v>
      </c>
      <c r="F131" s="40">
        <v>790</v>
      </c>
      <c r="G131" s="97"/>
    </row>
    <row r="132" spans="1:7" x14ac:dyDescent="0.2">
      <c r="A132" s="54" t="s">
        <v>150</v>
      </c>
      <c r="B132" s="57" t="str">
        <f t="shared" si="2"/>
        <v>Responsable d'équipeCadre de santé</v>
      </c>
      <c r="C132" s="96" t="s">
        <v>151</v>
      </c>
      <c r="D132" s="41" t="s">
        <v>118</v>
      </c>
      <c r="E132" s="42" t="s">
        <v>163</v>
      </c>
      <c r="F132" s="40">
        <v>790</v>
      </c>
      <c r="G132" s="97"/>
    </row>
    <row r="133" spans="1:7" x14ac:dyDescent="0.2">
      <c r="A133" s="54" t="s">
        <v>150</v>
      </c>
      <c r="B133" s="57" t="str">
        <f t="shared" si="2"/>
        <v xml:space="preserve">Responsable d'équipeCadre supérieur de santé </v>
      </c>
      <c r="C133" s="96" t="s">
        <v>151</v>
      </c>
      <c r="D133" s="41" t="s">
        <v>117</v>
      </c>
      <c r="E133" s="42" t="s">
        <v>384</v>
      </c>
      <c r="F133" s="40">
        <v>790</v>
      </c>
      <c r="G133" s="97"/>
    </row>
    <row r="134" spans="1:7" x14ac:dyDescent="0.2">
      <c r="A134" s="54" t="s">
        <v>150</v>
      </c>
      <c r="B134" s="57" t="str">
        <f t="shared" si="2"/>
        <v>Responsable d'équipePsychologues de classe normale</v>
      </c>
      <c r="C134" s="96" t="s">
        <v>151</v>
      </c>
      <c r="D134" s="46" t="s">
        <v>129</v>
      </c>
      <c r="E134" s="42" t="s">
        <v>394</v>
      </c>
      <c r="F134" s="40">
        <v>790</v>
      </c>
      <c r="G134" s="97"/>
    </row>
    <row r="135" spans="1:7" x14ac:dyDescent="0.2">
      <c r="A135" s="54" t="s">
        <v>150</v>
      </c>
      <c r="B135" s="57" t="str">
        <f t="shared" si="2"/>
        <v>Responsable d'équipePsychologues hors classe</v>
      </c>
      <c r="C135" s="96" t="s">
        <v>151</v>
      </c>
      <c r="D135" s="46" t="s">
        <v>130</v>
      </c>
      <c r="E135" s="42" t="s">
        <v>393</v>
      </c>
      <c r="F135" s="40">
        <v>790</v>
      </c>
      <c r="G135" s="97"/>
    </row>
    <row r="136" spans="1:7" x14ac:dyDescent="0.2">
      <c r="A136" s="54" t="s">
        <v>150</v>
      </c>
      <c r="B136" s="57" t="str">
        <f t="shared" si="2"/>
        <v>Responsable d'équipeInfirmier en soins généraux</v>
      </c>
      <c r="C136" s="96" t="s">
        <v>151</v>
      </c>
      <c r="D136" s="41" t="s">
        <v>127</v>
      </c>
      <c r="E136" s="42" t="s">
        <v>390</v>
      </c>
      <c r="F136" s="40">
        <v>790</v>
      </c>
      <c r="G136" s="97"/>
    </row>
    <row r="137" spans="1:7" x14ac:dyDescent="0.2">
      <c r="A137" s="54" t="s">
        <v>150</v>
      </c>
      <c r="B137" s="57" t="str">
        <f t="shared" si="2"/>
        <v>Responsable d'équipeInfirmier en soins généraux hors classe</v>
      </c>
      <c r="C137" s="96" t="s">
        <v>151</v>
      </c>
      <c r="D137" s="41" t="s">
        <v>128</v>
      </c>
      <c r="E137" s="42" t="s">
        <v>389</v>
      </c>
      <c r="F137" s="40">
        <v>790</v>
      </c>
      <c r="G137" s="97"/>
    </row>
    <row r="138" spans="1:7" x14ac:dyDescent="0.2">
      <c r="A138" s="54" t="s">
        <v>150</v>
      </c>
      <c r="B138" s="57" t="str">
        <f t="shared" si="2"/>
        <v>Responsable d'équipePuéricultrices</v>
      </c>
      <c r="C138" s="96" t="s">
        <v>151</v>
      </c>
      <c r="D138" s="47">
        <v>5413</v>
      </c>
      <c r="E138" s="42" t="s">
        <v>387</v>
      </c>
      <c r="F138" s="40">
        <v>790</v>
      </c>
      <c r="G138" s="97"/>
    </row>
    <row r="139" spans="1:7" x14ac:dyDescent="0.2">
      <c r="A139" s="54" t="s">
        <v>150</v>
      </c>
      <c r="B139" s="57" t="str">
        <f t="shared" si="2"/>
        <v>Responsable d'équipePuéricultrices hors classe</v>
      </c>
      <c r="C139" s="96" t="s">
        <v>151</v>
      </c>
      <c r="D139" s="47">
        <v>5415</v>
      </c>
      <c r="E139" s="42" t="s">
        <v>388</v>
      </c>
      <c r="F139" s="40">
        <v>790</v>
      </c>
      <c r="G139" s="97"/>
    </row>
    <row r="140" spans="1:7" x14ac:dyDescent="0.2">
      <c r="A140" s="54" t="s">
        <v>150</v>
      </c>
      <c r="B140" s="57" t="str">
        <f t="shared" si="2"/>
        <v>Responsable d'équipeEducateur de jeunes enfants</v>
      </c>
      <c r="C140" s="96" t="s">
        <v>151</v>
      </c>
      <c r="D140" s="41" t="s">
        <v>139</v>
      </c>
      <c r="E140" s="42" t="s">
        <v>410</v>
      </c>
      <c r="F140" s="40">
        <v>790</v>
      </c>
      <c r="G140" s="97"/>
    </row>
    <row r="141" spans="1:7" x14ac:dyDescent="0.2">
      <c r="A141" s="54" t="s">
        <v>150</v>
      </c>
      <c r="B141" s="57" t="str">
        <f t="shared" si="2"/>
        <v>Responsable d'équipeEducateur de jeunes enfants de classe exceptionnelle</v>
      </c>
      <c r="C141" s="96" t="s">
        <v>151</v>
      </c>
      <c r="D141" s="41" t="s">
        <v>140</v>
      </c>
      <c r="E141" s="42" t="s">
        <v>411</v>
      </c>
      <c r="F141" s="40">
        <v>790</v>
      </c>
      <c r="G141" s="97"/>
    </row>
    <row r="142" spans="1:7" x14ac:dyDescent="0.2">
      <c r="A142" s="54" t="s">
        <v>150</v>
      </c>
      <c r="B142" s="57" t="str">
        <f t="shared" si="2"/>
        <v>Responsable d'équipeAssistant socio-éducatif</v>
      </c>
      <c r="C142" s="96" t="s">
        <v>151</v>
      </c>
      <c r="D142" s="48">
        <v>5931</v>
      </c>
      <c r="E142" s="42" t="s">
        <v>400</v>
      </c>
      <c r="F142" s="40">
        <v>790</v>
      </c>
      <c r="G142" s="97"/>
    </row>
    <row r="143" spans="1:7" x14ac:dyDescent="0.2">
      <c r="A143" s="54" t="s">
        <v>150</v>
      </c>
      <c r="B143" s="57" t="str">
        <f t="shared" si="2"/>
        <v>Responsable d'équipeAssistant socio-éducatif de classe exceptionnelle</v>
      </c>
      <c r="C143" s="96" t="s">
        <v>151</v>
      </c>
      <c r="D143" s="48">
        <v>5932</v>
      </c>
      <c r="E143" s="42" t="s">
        <v>399</v>
      </c>
      <c r="F143" s="40">
        <v>790</v>
      </c>
      <c r="G143" s="97"/>
    </row>
    <row r="144" spans="1:7" x14ac:dyDescent="0.2">
      <c r="A144" s="54" t="s">
        <v>152</v>
      </c>
      <c r="B144" s="57" t="str">
        <f t="shared" si="2"/>
        <v>Responsable d'équipe expertise informatiqueAttaché</v>
      </c>
      <c r="C144" s="96" t="s">
        <v>153</v>
      </c>
      <c r="D144" s="45" t="s">
        <v>97</v>
      </c>
      <c r="E144" s="42" t="s">
        <v>10</v>
      </c>
      <c r="F144" s="36">
        <v>1315</v>
      </c>
      <c r="G144" s="97"/>
    </row>
    <row r="145" spans="1:7" x14ac:dyDescent="0.2">
      <c r="A145" s="54" t="s">
        <v>152</v>
      </c>
      <c r="B145" s="57" t="str">
        <f t="shared" si="2"/>
        <v>Responsable d'équipe expertise informatiqueAttaché principal</v>
      </c>
      <c r="C145" s="96" t="s">
        <v>153</v>
      </c>
      <c r="D145" s="45" t="s">
        <v>96</v>
      </c>
      <c r="E145" s="42" t="s">
        <v>11</v>
      </c>
      <c r="F145" s="36">
        <v>1455</v>
      </c>
      <c r="G145" s="97"/>
    </row>
    <row r="146" spans="1:7" x14ac:dyDescent="0.2">
      <c r="A146" s="51" t="s">
        <v>82</v>
      </c>
      <c r="B146" s="56" t="str">
        <f t="shared" si="2"/>
        <v>Non encadrant.eAttaché</v>
      </c>
      <c r="C146" s="96" t="s">
        <v>154</v>
      </c>
      <c r="D146" s="45" t="s">
        <v>97</v>
      </c>
      <c r="E146" s="42" t="s">
        <v>10</v>
      </c>
      <c r="F146" s="36">
        <v>700</v>
      </c>
      <c r="G146" s="97"/>
    </row>
    <row r="147" spans="1:7" x14ac:dyDescent="0.2">
      <c r="A147" s="51" t="s">
        <v>82</v>
      </c>
      <c r="B147" s="56" t="str">
        <f t="shared" si="2"/>
        <v>Non encadrant.eDirecteur ter</v>
      </c>
      <c r="C147" s="96" t="s">
        <v>154</v>
      </c>
      <c r="D147" s="48">
        <v>1016</v>
      </c>
      <c r="E147" s="42" t="s">
        <v>94</v>
      </c>
      <c r="F147" s="36">
        <v>700</v>
      </c>
      <c r="G147" s="97"/>
    </row>
    <row r="148" spans="1:7" x14ac:dyDescent="0.2">
      <c r="A148" s="51" t="s">
        <v>82</v>
      </c>
      <c r="B148" s="56" t="str">
        <f t="shared" si="2"/>
        <v>Non encadrant.eAttaché principal</v>
      </c>
      <c r="C148" s="96" t="s">
        <v>154</v>
      </c>
      <c r="D148" s="45" t="s">
        <v>96</v>
      </c>
      <c r="E148" s="42" t="s">
        <v>11</v>
      </c>
      <c r="F148" s="36">
        <v>850</v>
      </c>
      <c r="G148" s="97"/>
    </row>
    <row r="149" spans="1:7" x14ac:dyDescent="0.2">
      <c r="A149" s="51" t="s">
        <v>82</v>
      </c>
      <c r="B149" s="56" t="str">
        <f t="shared" si="2"/>
        <v>Non encadrant.eIngénieur HCl</v>
      </c>
      <c r="C149" s="96" t="s">
        <v>154</v>
      </c>
      <c r="D149" s="48">
        <v>2724</v>
      </c>
      <c r="E149" s="42" t="s">
        <v>104</v>
      </c>
      <c r="F149" s="36">
        <v>1100</v>
      </c>
      <c r="G149" s="98"/>
    </row>
    <row r="150" spans="1:7" x14ac:dyDescent="0.2">
      <c r="A150" s="51" t="s">
        <v>82</v>
      </c>
      <c r="B150" s="56" t="str">
        <f t="shared" si="2"/>
        <v>Non encadrant.eIngénieur Pal</v>
      </c>
      <c r="C150" s="96" t="s">
        <v>154</v>
      </c>
      <c r="D150" s="48">
        <v>2722</v>
      </c>
      <c r="E150" s="42" t="s">
        <v>105</v>
      </c>
      <c r="F150" s="36">
        <v>1100</v>
      </c>
      <c r="G150" s="98"/>
    </row>
    <row r="151" spans="1:7" x14ac:dyDescent="0.2">
      <c r="A151" s="51" t="s">
        <v>82</v>
      </c>
      <c r="B151" s="56" t="str">
        <f t="shared" si="2"/>
        <v>Non encadrant.eIngénieur</v>
      </c>
      <c r="C151" s="96" t="s">
        <v>154</v>
      </c>
      <c r="D151" s="48">
        <v>2720</v>
      </c>
      <c r="E151" s="42" t="s">
        <v>88</v>
      </c>
      <c r="F151" s="36">
        <v>1100</v>
      </c>
      <c r="G151" s="98"/>
    </row>
    <row r="152" spans="1:7" x14ac:dyDescent="0.2">
      <c r="A152" s="51" t="s">
        <v>82</v>
      </c>
      <c r="B152" s="56" t="str">
        <f t="shared" si="2"/>
        <v>Non encadrant.eAttachés conservation</v>
      </c>
      <c r="C152" s="96" t="s">
        <v>154</v>
      </c>
      <c r="D152" s="45" t="s">
        <v>125</v>
      </c>
      <c r="E152" s="42" t="s">
        <v>335</v>
      </c>
      <c r="F152" s="36">
        <v>700</v>
      </c>
      <c r="G152" s="97"/>
    </row>
    <row r="153" spans="1:7" x14ac:dyDescent="0.2">
      <c r="A153" s="51" t="s">
        <v>82</v>
      </c>
      <c r="B153" s="56" t="str">
        <f t="shared" si="2"/>
        <v>Non encadrant.eAttachés conservation principal</v>
      </c>
      <c r="C153" s="96" t="s">
        <v>154</v>
      </c>
      <c r="D153" s="45" t="s">
        <v>124</v>
      </c>
      <c r="E153" s="42" t="s">
        <v>336</v>
      </c>
      <c r="F153" s="36">
        <v>850</v>
      </c>
      <c r="G153" s="97"/>
    </row>
    <row r="154" spans="1:7" x14ac:dyDescent="0.2">
      <c r="A154" s="51" t="s">
        <v>82</v>
      </c>
      <c r="B154" s="56" t="str">
        <f t="shared" si="2"/>
        <v>Non encadrant.eBibliothécaire</v>
      </c>
      <c r="C154" s="96" t="s">
        <v>154</v>
      </c>
      <c r="D154" s="45" t="s">
        <v>136</v>
      </c>
      <c r="E154" s="42" t="s">
        <v>137</v>
      </c>
      <c r="F154" s="36">
        <v>700</v>
      </c>
      <c r="G154" s="97"/>
    </row>
    <row r="155" spans="1:7" x14ac:dyDescent="0.2">
      <c r="A155" s="51" t="s">
        <v>82</v>
      </c>
      <c r="B155" s="56" t="str">
        <f t="shared" si="2"/>
        <v>Non encadrant.eBibliothécaire principal</v>
      </c>
      <c r="C155" s="96" t="s">
        <v>154</v>
      </c>
      <c r="D155" s="45" t="s">
        <v>135</v>
      </c>
      <c r="E155" s="42" t="s">
        <v>337</v>
      </c>
      <c r="F155" s="36">
        <v>850</v>
      </c>
      <c r="G155" s="97"/>
    </row>
    <row r="156" spans="1:7" x14ac:dyDescent="0.2">
      <c r="A156" s="51" t="s">
        <v>82</v>
      </c>
      <c r="B156" s="56" t="str">
        <f t="shared" si="2"/>
        <v>Non encadrant.eConseiller des APS</v>
      </c>
      <c r="C156" s="96" t="s">
        <v>154</v>
      </c>
      <c r="D156" s="38" t="s">
        <v>115</v>
      </c>
      <c r="E156" s="42" t="s">
        <v>116</v>
      </c>
      <c r="F156" s="40">
        <v>700</v>
      </c>
      <c r="G156" s="97"/>
    </row>
    <row r="157" spans="1:7" x14ac:dyDescent="0.2">
      <c r="A157" s="51" t="s">
        <v>82</v>
      </c>
      <c r="B157" s="56" t="str">
        <f t="shared" si="2"/>
        <v>Non encadrant.eConseiller principal des APS</v>
      </c>
      <c r="C157" s="96" t="s">
        <v>154</v>
      </c>
      <c r="D157" s="38" t="s">
        <v>113</v>
      </c>
      <c r="E157" s="42" t="s">
        <v>114</v>
      </c>
      <c r="F157" s="40">
        <v>700</v>
      </c>
      <c r="G157" s="97"/>
    </row>
    <row r="158" spans="1:7" x14ac:dyDescent="0.2">
      <c r="A158" s="51" t="s">
        <v>82</v>
      </c>
      <c r="B158" s="56" t="str">
        <f t="shared" si="2"/>
        <v>Non encadrant.eConseiller socio-éducatif</v>
      </c>
      <c r="C158" s="96" t="s">
        <v>154</v>
      </c>
      <c r="D158" s="45" t="s">
        <v>155</v>
      </c>
      <c r="E158" s="42" t="s">
        <v>379</v>
      </c>
      <c r="F158" s="40">
        <v>700</v>
      </c>
      <c r="G158" s="97"/>
    </row>
    <row r="159" spans="1:7" x14ac:dyDescent="0.2">
      <c r="A159" s="51" t="s">
        <v>82</v>
      </c>
      <c r="B159" s="56" t="str">
        <f t="shared" si="2"/>
        <v>Non encadrant.eConseiller supérieur socio-éducatif</v>
      </c>
      <c r="C159" s="96" t="s">
        <v>154</v>
      </c>
      <c r="D159" s="45" t="s">
        <v>156</v>
      </c>
      <c r="E159" s="42" t="s">
        <v>380</v>
      </c>
      <c r="F159" s="40">
        <v>700</v>
      </c>
      <c r="G159" s="97"/>
    </row>
    <row r="160" spans="1:7" x14ac:dyDescent="0.2">
      <c r="A160" s="51" t="s">
        <v>82</v>
      </c>
      <c r="B160" s="56" t="str">
        <f t="shared" si="2"/>
        <v>Non encadrant.eConseiller hors classe socio-éducatif</v>
      </c>
      <c r="C160" s="96" t="s">
        <v>154</v>
      </c>
      <c r="D160" s="45" t="s">
        <v>157</v>
      </c>
      <c r="E160" s="42" t="s">
        <v>381</v>
      </c>
      <c r="F160" s="40">
        <v>700</v>
      </c>
      <c r="G160" s="97"/>
    </row>
    <row r="161" spans="1:7" x14ac:dyDescent="0.2">
      <c r="A161" s="51" t="s">
        <v>82</v>
      </c>
      <c r="B161" s="56" t="str">
        <f t="shared" si="2"/>
        <v>Non encadrant.ePuéricultrices</v>
      </c>
      <c r="C161" s="96" t="s">
        <v>154</v>
      </c>
      <c r="D161" s="47">
        <v>5413</v>
      </c>
      <c r="E161" s="42" t="s">
        <v>387</v>
      </c>
      <c r="F161" s="40">
        <v>700</v>
      </c>
      <c r="G161" s="97"/>
    </row>
    <row r="162" spans="1:7" x14ac:dyDescent="0.2">
      <c r="A162" s="51" t="s">
        <v>82</v>
      </c>
      <c r="B162" s="56" t="str">
        <f t="shared" si="2"/>
        <v>Non encadrant.ePuéricultrices hors classe</v>
      </c>
      <c r="C162" s="96" t="s">
        <v>154</v>
      </c>
      <c r="D162" s="47">
        <v>5415</v>
      </c>
      <c r="E162" s="42" t="s">
        <v>388</v>
      </c>
      <c r="F162" s="40">
        <v>700</v>
      </c>
      <c r="G162" s="97"/>
    </row>
    <row r="163" spans="1:7" x14ac:dyDescent="0.2">
      <c r="A163" s="51" t="s">
        <v>82</v>
      </c>
      <c r="B163" s="56" t="str">
        <f t="shared" si="2"/>
        <v>Non encadrant.eSage-femme de classe normale</v>
      </c>
      <c r="C163" s="96" t="s">
        <v>154</v>
      </c>
      <c r="D163" s="46" t="s">
        <v>158</v>
      </c>
      <c r="E163" s="42" t="s">
        <v>392</v>
      </c>
      <c r="F163" s="40">
        <v>700</v>
      </c>
      <c r="G163" s="97"/>
    </row>
    <row r="164" spans="1:7" x14ac:dyDescent="0.2">
      <c r="A164" s="51" t="s">
        <v>82</v>
      </c>
      <c r="B164" s="56" t="str">
        <f t="shared" si="2"/>
        <v>Non encadrant.eSage-femme hors-classe</v>
      </c>
      <c r="C164" s="96" t="s">
        <v>154</v>
      </c>
      <c r="D164" s="46" t="s">
        <v>159</v>
      </c>
      <c r="E164" s="42" t="s">
        <v>391</v>
      </c>
      <c r="F164" s="40">
        <v>700</v>
      </c>
      <c r="G164" s="97"/>
    </row>
    <row r="165" spans="1:7" x14ac:dyDescent="0.2">
      <c r="A165" s="51" t="s">
        <v>82</v>
      </c>
      <c r="B165" s="56" t="str">
        <f t="shared" si="2"/>
        <v>Non encadrant.ePsychologues de classe normale</v>
      </c>
      <c r="C165" s="96" t="s">
        <v>154</v>
      </c>
      <c r="D165" s="46" t="s">
        <v>129</v>
      </c>
      <c r="E165" s="42" t="s">
        <v>394</v>
      </c>
      <c r="F165" s="40">
        <v>700</v>
      </c>
      <c r="G165" s="97"/>
    </row>
    <row r="166" spans="1:7" x14ac:dyDescent="0.2">
      <c r="A166" s="51" t="s">
        <v>82</v>
      </c>
      <c r="B166" s="56" t="str">
        <f t="shared" si="2"/>
        <v>Non encadrant.ePsychologues hors classe</v>
      </c>
      <c r="C166" s="96" t="s">
        <v>154</v>
      </c>
      <c r="D166" s="46" t="s">
        <v>130</v>
      </c>
      <c r="E166" s="42" t="s">
        <v>393</v>
      </c>
      <c r="F166" s="40">
        <v>700</v>
      </c>
      <c r="G166" s="97"/>
    </row>
    <row r="167" spans="1:7" x14ac:dyDescent="0.2">
      <c r="A167" s="51" t="s">
        <v>82</v>
      </c>
      <c r="B167" s="56" t="str">
        <f t="shared" si="2"/>
        <v>Non encadrant.eInfirmier en soins généraux</v>
      </c>
      <c r="C167" s="96" t="s">
        <v>154</v>
      </c>
      <c r="D167" s="41" t="s">
        <v>128</v>
      </c>
      <c r="E167" s="42" t="s">
        <v>390</v>
      </c>
      <c r="F167" s="40">
        <v>700</v>
      </c>
      <c r="G167" s="97"/>
    </row>
    <row r="168" spans="1:7" x14ac:dyDescent="0.2">
      <c r="A168" s="51" t="s">
        <v>82</v>
      </c>
      <c r="B168" s="56" t="str">
        <f t="shared" si="2"/>
        <v>Non encadrant.eInfirmier en soins généraux hors classe</v>
      </c>
      <c r="C168" s="96" t="s">
        <v>154</v>
      </c>
      <c r="D168" s="41" t="s">
        <v>127</v>
      </c>
      <c r="E168" s="42" t="s">
        <v>389</v>
      </c>
      <c r="F168" s="40">
        <v>700</v>
      </c>
      <c r="G168" s="97"/>
    </row>
    <row r="169" spans="1:7" x14ac:dyDescent="0.2">
      <c r="A169" s="51" t="s">
        <v>82</v>
      </c>
      <c r="B169" s="56" t="str">
        <f t="shared" si="2"/>
        <v>Non encadrant.ePédi Podo Ergo Orthopt classe normale</v>
      </c>
      <c r="C169" s="96" t="s">
        <v>154</v>
      </c>
      <c r="D169" s="46" t="s">
        <v>160</v>
      </c>
      <c r="E169" s="42" t="s">
        <v>382</v>
      </c>
      <c r="F169" s="40">
        <v>700</v>
      </c>
      <c r="G169" s="97"/>
    </row>
    <row r="170" spans="1:7" x14ac:dyDescent="0.2">
      <c r="A170" s="51" t="s">
        <v>82</v>
      </c>
      <c r="B170" s="56" t="str">
        <f t="shared" si="2"/>
        <v>Non encadrant.ePédi Podo Ergo Orthopt hors classe</v>
      </c>
      <c r="C170" s="96" t="s">
        <v>154</v>
      </c>
      <c r="D170" s="46" t="s">
        <v>161</v>
      </c>
      <c r="E170" s="42" t="s">
        <v>383</v>
      </c>
      <c r="F170" s="40">
        <v>700</v>
      </c>
      <c r="G170" s="97"/>
    </row>
    <row r="171" spans="1:7" x14ac:dyDescent="0.2">
      <c r="A171" s="51" t="s">
        <v>82</v>
      </c>
      <c r="B171" s="56" t="str">
        <f t="shared" si="2"/>
        <v>Non encadrant.eCadre de santé</v>
      </c>
      <c r="C171" s="96" t="s">
        <v>154</v>
      </c>
      <c r="D171" s="41" t="s">
        <v>118</v>
      </c>
      <c r="E171" s="42" t="s">
        <v>163</v>
      </c>
      <c r="F171" s="40">
        <v>700</v>
      </c>
      <c r="G171" s="97"/>
    </row>
    <row r="172" spans="1:7" x14ac:dyDescent="0.2">
      <c r="A172" s="51" t="s">
        <v>82</v>
      </c>
      <c r="B172" s="56" t="str">
        <f t="shared" si="2"/>
        <v xml:space="preserve">Non encadrant.eCadre supérieur de santé </v>
      </c>
      <c r="C172" s="96" t="s">
        <v>154</v>
      </c>
      <c r="D172" s="41" t="s">
        <v>117</v>
      </c>
      <c r="E172" s="42" t="s">
        <v>384</v>
      </c>
      <c r="F172" s="40">
        <v>700</v>
      </c>
      <c r="G172" s="97"/>
    </row>
    <row r="173" spans="1:7" x14ac:dyDescent="0.2">
      <c r="A173" s="51" t="s">
        <v>82</v>
      </c>
      <c r="B173" s="56" t="str">
        <f t="shared" si="2"/>
        <v>Non encadrant.eMasseurs Kiné Psychomot Orthophonistes territoriaux classe normale</v>
      </c>
      <c r="C173" s="96" t="s">
        <v>154</v>
      </c>
      <c r="D173" s="41" t="s">
        <v>164</v>
      </c>
      <c r="E173" s="42" t="s">
        <v>385</v>
      </c>
      <c r="F173" s="40">
        <v>700</v>
      </c>
      <c r="G173" s="97"/>
    </row>
    <row r="174" spans="1:7" x14ac:dyDescent="0.2">
      <c r="A174" s="51" t="s">
        <v>82</v>
      </c>
      <c r="B174" s="56" t="str">
        <f t="shared" si="2"/>
        <v>Non encadrant.eMasseurs Kiné Psychomot Orthophonistes territoriaux hors classe</v>
      </c>
      <c r="C174" s="96" t="s">
        <v>154</v>
      </c>
      <c r="D174" s="47">
        <v>5737</v>
      </c>
      <c r="E174" s="42" t="s">
        <v>386</v>
      </c>
      <c r="F174" s="40">
        <v>700</v>
      </c>
      <c r="G174" s="97"/>
    </row>
    <row r="175" spans="1:7" x14ac:dyDescent="0.2">
      <c r="A175" s="51" t="s">
        <v>82</v>
      </c>
      <c r="B175" s="56" t="str">
        <f t="shared" si="2"/>
        <v>Non encadrant.eAssistant socio-éducatif</v>
      </c>
      <c r="C175" s="96" t="s">
        <v>154</v>
      </c>
      <c r="D175" s="48">
        <v>5931</v>
      </c>
      <c r="E175" s="42" t="s">
        <v>400</v>
      </c>
      <c r="F175" s="40">
        <v>700</v>
      </c>
      <c r="G175" s="97"/>
    </row>
    <row r="176" spans="1:7" x14ac:dyDescent="0.2">
      <c r="A176" s="51" t="s">
        <v>82</v>
      </c>
      <c r="B176" s="56" t="str">
        <f t="shared" si="2"/>
        <v>Non encadrant.eAssistant socio-éducatif de classe exceptionnelle</v>
      </c>
      <c r="C176" s="96" t="s">
        <v>154</v>
      </c>
      <c r="D176" s="48">
        <v>5932</v>
      </c>
      <c r="E176" s="42" t="s">
        <v>399</v>
      </c>
      <c r="F176" s="40">
        <v>700</v>
      </c>
      <c r="G176" s="97"/>
    </row>
    <row r="177" spans="1:7" x14ac:dyDescent="0.2">
      <c r="A177" s="51" t="s">
        <v>82</v>
      </c>
      <c r="B177" s="56" t="str">
        <f t="shared" si="2"/>
        <v>Non encadrant.eEducateur de jeunes enfants</v>
      </c>
      <c r="C177" s="96" t="s">
        <v>154</v>
      </c>
      <c r="D177" s="41" t="s">
        <v>139</v>
      </c>
      <c r="E177" s="42" t="s">
        <v>410</v>
      </c>
      <c r="F177" s="40">
        <v>700</v>
      </c>
      <c r="G177" s="97"/>
    </row>
    <row r="178" spans="1:7" x14ac:dyDescent="0.2">
      <c r="A178" s="51" t="s">
        <v>82</v>
      </c>
      <c r="B178" s="56" t="str">
        <f t="shared" si="2"/>
        <v>Non encadrant.eEducateur de jeunes enfants de classe exceptionnelle</v>
      </c>
      <c r="C178" s="96" t="s">
        <v>154</v>
      </c>
      <c r="D178" s="41" t="s">
        <v>140</v>
      </c>
      <c r="E178" s="42" t="s">
        <v>411</v>
      </c>
      <c r="F178" s="40">
        <v>700</v>
      </c>
      <c r="G178" s="97"/>
    </row>
    <row r="179" spans="1:7" x14ac:dyDescent="0.2">
      <c r="A179" s="51">
        <v>31</v>
      </c>
      <c r="B179" s="56" t="str">
        <f t="shared" si="2"/>
        <v>Non encadrant direction ou coordinationAttaché</v>
      </c>
      <c r="C179" s="96" t="s">
        <v>166</v>
      </c>
      <c r="D179" s="45" t="s">
        <v>97</v>
      </c>
      <c r="E179" s="42" t="s">
        <v>10</v>
      </c>
      <c r="F179" s="36">
        <v>750</v>
      </c>
      <c r="G179" s="97"/>
    </row>
    <row r="180" spans="1:7" x14ac:dyDescent="0.2">
      <c r="A180" s="51">
        <v>31</v>
      </c>
      <c r="B180" s="56" t="str">
        <f t="shared" si="2"/>
        <v>Non encadrant direction ou coordinationAttaché principal</v>
      </c>
      <c r="C180" s="96" t="s">
        <v>166</v>
      </c>
      <c r="D180" s="45" t="s">
        <v>96</v>
      </c>
      <c r="E180" s="42" t="s">
        <v>11</v>
      </c>
      <c r="F180" s="36">
        <v>900</v>
      </c>
      <c r="G180" s="97"/>
    </row>
    <row r="181" spans="1:7" x14ac:dyDescent="0.2">
      <c r="A181" s="51">
        <v>31</v>
      </c>
      <c r="B181" s="56" t="str">
        <f t="shared" ref="B181:B239" si="3">C181&amp;E181</f>
        <v>Non encadrant direction ou coordinationIngénieur HCl</v>
      </c>
      <c r="C181" s="96" t="s">
        <v>166</v>
      </c>
      <c r="D181" s="48">
        <v>2724</v>
      </c>
      <c r="E181" s="42" t="s">
        <v>104</v>
      </c>
      <c r="F181" s="36">
        <v>1375</v>
      </c>
      <c r="G181" s="98"/>
    </row>
    <row r="182" spans="1:7" x14ac:dyDescent="0.2">
      <c r="A182" s="51">
        <v>31</v>
      </c>
      <c r="B182" s="56" t="str">
        <f t="shared" si="3"/>
        <v>Non encadrant direction ou coordinationIngénieur Pal</v>
      </c>
      <c r="C182" s="96" t="s">
        <v>166</v>
      </c>
      <c r="D182" s="48">
        <v>2722</v>
      </c>
      <c r="E182" s="42" t="s">
        <v>105</v>
      </c>
      <c r="F182" s="36">
        <v>1375</v>
      </c>
      <c r="G182" s="98"/>
    </row>
    <row r="183" spans="1:7" x14ac:dyDescent="0.2">
      <c r="A183" s="51">
        <v>31</v>
      </c>
      <c r="B183" s="56" t="str">
        <f t="shared" si="3"/>
        <v>Non encadrant direction ou coordinationIngénieur</v>
      </c>
      <c r="C183" s="96" t="s">
        <v>166</v>
      </c>
      <c r="D183" s="48">
        <v>2720</v>
      </c>
      <c r="E183" s="42" t="s">
        <v>88</v>
      </c>
      <c r="F183" s="36">
        <v>1375</v>
      </c>
      <c r="G183" s="98"/>
    </row>
    <row r="184" spans="1:7" x14ac:dyDescent="0.2">
      <c r="A184" s="51">
        <v>31</v>
      </c>
      <c r="B184" s="56" t="str">
        <f t="shared" si="3"/>
        <v>Non encadrant direction ou coordinationAttachés conservation</v>
      </c>
      <c r="C184" s="96" t="s">
        <v>166</v>
      </c>
      <c r="D184" s="45" t="s">
        <v>125</v>
      </c>
      <c r="E184" s="42" t="s">
        <v>335</v>
      </c>
      <c r="F184" s="36">
        <v>750</v>
      </c>
      <c r="G184" s="97"/>
    </row>
    <row r="185" spans="1:7" x14ac:dyDescent="0.2">
      <c r="A185" s="51">
        <v>31</v>
      </c>
      <c r="B185" s="56" t="str">
        <f t="shared" si="3"/>
        <v>Non encadrant direction ou coordinationAttachés conservation principal</v>
      </c>
      <c r="C185" s="96" t="s">
        <v>166</v>
      </c>
      <c r="D185" s="45" t="s">
        <v>124</v>
      </c>
      <c r="E185" s="42" t="s">
        <v>336</v>
      </c>
      <c r="F185" s="36">
        <v>900</v>
      </c>
      <c r="G185" s="97"/>
    </row>
    <row r="186" spans="1:7" x14ac:dyDescent="0.2">
      <c r="A186" s="51">
        <v>31</v>
      </c>
      <c r="B186" s="56" t="str">
        <f t="shared" si="3"/>
        <v>Non encadrant direction ou coordinationBibliothécaire</v>
      </c>
      <c r="C186" s="96" t="s">
        <v>166</v>
      </c>
      <c r="D186" s="45" t="s">
        <v>136</v>
      </c>
      <c r="E186" s="42" t="s">
        <v>137</v>
      </c>
      <c r="F186" s="36">
        <v>750</v>
      </c>
      <c r="G186" s="97"/>
    </row>
    <row r="187" spans="1:7" x14ac:dyDescent="0.2">
      <c r="A187" s="51">
        <v>31</v>
      </c>
      <c r="B187" s="56" t="str">
        <f t="shared" si="3"/>
        <v>Non encadrant direction ou coordinationBibliothécaire principal</v>
      </c>
      <c r="C187" s="96" t="s">
        <v>166</v>
      </c>
      <c r="D187" s="45" t="s">
        <v>135</v>
      </c>
      <c r="E187" s="42" t="s">
        <v>337</v>
      </c>
      <c r="F187" s="36">
        <v>900</v>
      </c>
      <c r="G187" s="97"/>
    </row>
    <row r="188" spans="1:7" x14ac:dyDescent="0.2">
      <c r="A188" s="51">
        <v>31</v>
      </c>
      <c r="B188" s="56" t="str">
        <f t="shared" si="3"/>
        <v>Non encadrant direction ou coordinationConseiller des APS</v>
      </c>
      <c r="C188" s="96" t="s">
        <v>166</v>
      </c>
      <c r="D188" s="38" t="s">
        <v>115</v>
      </c>
      <c r="E188" s="42" t="s">
        <v>116</v>
      </c>
      <c r="F188" s="40">
        <v>750</v>
      </c>
      <c r="G188" s="97"/>
    </row>
    <row r="189" spans="1:7" x14ac:dyDescent="0.2">
      <c r="A189" s="51">
        <v>31</v>
      </c>
      <c r="B189" s="56" t="str">
        <f t="shared" si="3"/>
        <v>Non encadrant direction ou coordinationConseiller principal des APS</v>
      </c>
      <c r="C189" s="96" t="s">
        <v>166</v>
      </c>
      <c r="D189" s="38" t="s">
        <v>113</v>
      </c>
      <c r="E189" s="42" t="s">
        <v>114</v>
      </c>
      <c r="F189" s="40">
        <v>750</v>
      </c>
      <c r="G189" s="97"/>
    </row>
    <row r="190" spans="1:7" x14ac:dyDescent="0.2">
      <c r="A190" s="51">
        <v>31</v>
      </c>
      <c r="B190" s="56" t="str">
        <f t="shared" si="3"/>
        <v>Non encadrant direction ou coordinationConseiller socio-éducatif</v>
      </c>
      <c r="C190" s="96" t="s">
        <v>166</v>
      </c>
      <c r="D190" s="45" t="s">
        <v>155</v>
      </c>
      <c r="E190" s="42" t="s">
        <v>379</v>
      </c>
      <c r="F190" s="40">
        <v>750</v>
      </c>
      <c r="G190" s="97"/>
    </row>
    <row r="191" spans="1:7" x14ac:dyDescent="0.2">
      <c r="A191" s="51">
        <v>31</v>
      </c>
      <c r="B191" s="56" t="str">
        <f t="shared" si="3"/>
        <v>Non encadrant direction ou coordinationConseiller supérieur socio-éducatif</v>
      </c>
      <c r="C191" s="96" t="s">
        <v>166</v>
      </c>
      <c r="D191" s="45" t="s">
        <v>156</v>
      </c>
      <c r="E191" s="42" t="s">
        <v>380</v>
      </c>
      <c r="F191" s="40">
        <v>750</v>
      </c>
      <c r="G191" s="97"/>
    </row>
    <row r="192" spans="1:7" x14ac:dyDescent="0.2">
      <c r="A192" s="51">
        <v>31</v>
      </c>
      <c r="B192" s="56" t="str">
        <f t="shared" si="3"/>
        <v>Non encadrant direction ou coordinationConseiller hors classe socio-éducatif</v>
      </c>
      <c r="C192" s="96" t="s">
        <v>166</v>
      </c>
      <c r="D192" s="45" t="s">
        <v>157</v>
      </c>
      <c r="E192" s="42" t="s">
        <v>381</v>
      </c>
      <c r="F192" s="40">
        <v>750</v>
      </c>
      <c r="G192" s="97"/>
    </row>
    <row r="193" spans="1:7" x14ac:dyDescent="0.2">
      <c r="A193" s="51">
        <v>31</v>
      </c>
      <c r="B193" s="56" t="str">
        <f t="shared" si="3"/>
        <v>Non encadrant direction ou coordinationPuéricultrices</v>
      </c>
      <c r="C193" s="96" t="s">
        <v>166</v>
      </c>
      <c r="D193" s="47">
        <v>5413</v>
      </c>
      <c r="E193" s="42" t="s">
        <v>387</v>
      </c>
      <c r="F193" s="40">
        <v>750</v>
      </c>
      <c r="G193" s="97"/>
    </row>
    <row r="194" spans="1:7" x14ac:dyDescent="0.2">
      <c r="A194" s="51">
        <v>31</v>
      </c>
      <c r="B194" s="56" t="str">
        <f t="shared" si="3"/>
        <v>Non encadrant direction ou coordinationPuéricultrices hors classe</v>
      </c>
      <c r="C194" s="96" t="s">
        <v>166</v>
      </c>
      <c r="D194" s="47">
        <v>5415</v>
      </c>
      <c r="E194" s="42" t="s">
        <v>388</v>
      </c>
      <c r="F194" s="40">
        <v>750</v>
      </c>
      <c r="G194" s="97"/>
    </row>
    <row r="195" spans="1:7" x14ac:dyDescent="0.2">
      <c r="A195" s="51">
        <v>31</v>
      </c>
      <c r="B195" s="56" t="str">
        <f t="shared" si="3"/>
        <v>Non encadrant direction ou coordinationSage-femme de classe normale</v>
      </c>
      <c r="C195" s="96" t="s">
        <v>166</v>
      </c>
      <c r="D195" s="46" t="s">
        <v>158</v>
      </c>
      <c r="E195" s="42" t="s">
        <v>392</v>
      </c>
      <c r="F195" s="40">
        <v>750</v>
      </c>
      <c r="G195" s="97"/>
    </row>
    <row r="196" spans="1:7" x14ac:dyDescent="0.2">
      <c r="A196" s="51">
        <v>31</v>
      </c>
      <c r="B196" s="56" t="str">
        <f t="shared" si="3"/>
        <v>Non encadrant direction ou coordinationSage-femme hors-classe</v>
      </c>
      <c r="C196" s="96" t="s">
        <v>166</v>
      </c>
      <c r="D196" s="46" t="s">
        <v>159</v>
      </c>
      <c r="E196" s="42" t="s">
        <v>391</v>
      </c>
      <c r="F196" s="40">
        <v>750</v>
      </c>
      <c r="G196" s="97"/>
    </row>
    <row r="197" spans="1:7" x14ac:dyDescent="0.2">
      <c r="A197" s="51">
        <v>31</v>
      </c>
      <c r="B197" s="56" t="str">
        <f t="shared" si="3"/>
        <v>Non encadrant direction ou coordinationPsychologues de classe normale</v>
      </c>
      <c r="C197" s="96" t="s">
        <v>166</v>
      </c>
      <c r="D197" s="46" t="s">
        <v>129</v>
      </c>
      <c r="E197" s="42" t="s">
        <v>394</v>
      </c>
      <c r="F197" s="40">
        <v>750</v>
      </c>
      <c r="G197" s="97"/>
    </row>
    <row r="198" spans="1:7" x14ac:dyDescent="0.2">
      <c r="A198" s="51">
        <v>31</v>
      </c>
      <c r="B198" s="56" t="str">
        <f t="shared" si="3"/>
        <v>Non encadrant direction ou coordinationPsychologues hors classe</v>
      </c>
      <c r="C198" s="96" t="s">
        <v>166</v>
      </c>
      <c r="D198" s="46" t="s">
        <v>130</v>
      </c>
      <c r="E198" s="42" t="s">
        <v>393</v>
      </c>
      <c r="F198" s="40">
        <v>750</v>
      </c>
      <c r="G198" s="97"/>
    </row>
    <row r="199" spans="1:7" x14ac:dyDescent="0.2">
      <c r="A199" s="51">
        <v>31</v>
      </c>
      <c r="B199" s="56" t="str">
        <f t="shared" si="3"/>
        <v>Non encadrant direction ou coordinationInfirmier en soins généraux</v>
      </c>
      <c r="C199" s="96" t="s">
        <v>166</v>
      </c>
      <c r="D199" s="41" t="s">
        <v>128</v>
      </c>
      <c r="E199" s="42" t="s">
        <v>390</v>
      </c>
      <c r="F199" s="40">
        <v>750</v>
      </c>
      <c r="G199" s="97"/>
    </row>
    <row r="200" spans="1:7" x14ac:dyDescent="0.2">
      <c r="A200" s="51">
        <v>31</v>
      </c>
      <c r="B200" s="56" t="str">
        <f t="shared" si="3"/>
        <v>Non encadrant direction ou coordinationInfirmier en soins généraux hors classe</v>
      </c>
      <c r="C200" s="96" t="s">
        <v>166</v>
      </c>
      <c r="D200" s="41" t="s">
        <v>127</v>
      </c>
      <c r="E200" s="42" t="s">
        <v>389</v>
      </c>
      <c r="F200" s="40">
        <v>750</v>
      </c>
      <c r="G200" s="97"/>
    </row>
    <row r="201" spans="1:7" x14ac:dyDescent="0.2">
      <c r="A201" s="51">
        <v>31</v>
      </c>
      <c r="B201" s="56" t="str">
        <f t="shared" si="3"/>
        <v>Non encadrant direction ou coordinationPédi Podo Ergo Orthopt classe normale</v>
      </c>
      <c r="C201" s="96" t="s">
        <v>166</v>
      </c>
      <c r="D201" s="46" t="s">
        <v>160</v>
      </c>
      <c r="E201" s="42" t="s">
        <v>382</v>
      </c>
      <c r="F201" s="40">
        <v>750</v>
      </c>
      <c r="G201" s="97"/>
    </row>
    <row r="202" spans="1:7" x14ac:dyDescent="0.2">
      <c r="A202" s="51">
        <v>31</v>
      </c>
      <c r="B202" s="56" t="str">
        <f t="shared" si="3"/>
        <v>Non encadrant direction ou coordinationPédi Podo Ergo Orthopt hors classe</v>
      </c>
      <c r="C202" s="96" t="s">
        <v>166</v>
      </c>
      <c r="D202" s="46" t="s">
        <v>162</v>
      </c>
      <c r="E202" s="42" t="s">
        <v>383</v>
      </c>
      <c r="F202" s="40">
        <v>750</v>
      </c>
      <c r="G202" s="97"/>
    </row>
    <row r="203" spans="1:7" x14ac:dyDescent="0.2">
      <c r="A203" s="51">
        <v>31</v>
      </c>
      <c r="B203" s="56" t="str">
        <f t="shared" si="3"/>
        <v>Non encadrant direction ou coordinationCadre de santé</v>
      </c>
      <c r="C203" s="96" t="s">
        <v>166</v>
      </c>
      <c r="D203" s="41" t="s">
        <v>118</v>
      </c>
      <c r="E203" s="42" t="s">
        <v>163</v>
      </c>
      <c r="F203" s="40">
        <v>750</v>
      </c>
      <c r="G203" s="97"/>
    </row>
    <row r="204" spans="1:7" x14ac:dyDescent="0.2">
      <c r="A204" s="51">
        <v>31</v>
      </c>
      <c r="B204" s="56" t="str">
        <f t="shared" si="3"/>
        <v xml:space="preserve">Non encadrant direction ou coordinationCadre supérieur de santé </v>
      </c>
      <c r="C204" s="96" t="s">
        <v>166</v>
      </c>
      <c r="D204" s="41" t="s">
        <v>117</v>
      </c>
      <c r="E204" s="42" t="s">
        <v>384</v>
      </c>
      <c r="F204" s="40">
        <v>750</v>
      </c>
      <c r="G204" s="97"/>
    </row>
    <row r="205" spans="1:7" x14ac:dyDescent="0.2">
      <c r="A205" s="51">
        <v>31</v>
      </c>
      <c r="B205" s="56" t="str">
        <f t="shared" si="3"/>
        <v>Non encadrant direction ou coordinationMasseurs Kiné Psychomot Orthophonistes territoriaux classe normale</v>
      </c>
      <c r="C205" s="96" t="s">
        <v>166</v>
      </c>
      <c r="D205" s="41" t="s">
        <v>164</v>
      </c>
      <c r="E205" s="42" t="s">
        <v>385</v>
      </c>
      <c r="F205" s="40">
        <v>750</v>
      </c>
      <c r="G205" s="97"/>
    </row>
    <row r="206" spans="1:7" x14ac:dyDescent="0.2">
      <c r="A206" s="51">
        <v>31</v>
      </c>
      <c r="B206" s="56" t="str">
        <f t="shared" si="3"/>
        <v>Non encadrant direction ou coordinationMasseurs Kiné Psychomot Orthophonistes territoriaux hors classe</v>
      </c>
      <c r="C206" s="96" t="s">
        <v>166</v>
      </c>
      <c r="D206" s="41" t="s">
        <v>165</v>
      </c>
      <c r="E206" s="42" t="s">
        <v>386</v>
      </c>
      <c r="F206" s="40">
        <v>750</v>
      </c>
      <c r="G206" s="97"/>
    </row>
    <row r="207" spans="1:7" x14ac:dyDescent="0.2">
      <c r="A207" s="51">
        <v>31</v>
      </c>
      <c r="B207" s="56" t="str">
        <f t="shared" si="3"/>
        <v>Non encadrant direction ou coordinationAssistant socio-éducatif</v>
      </c>
      <c r="C207" s="96" t="s">
        <v>166</v>
      </c>
      <c r="D207" s="48">
        <v>5931</v>
      </c>
      <c r="E207" s="42" t="s">
        <v>400</v>
      </c>
      <c r="F207" s="40">
        <v>750</v>
      </c>
      <c r="G207" s="97"/>
    </row>
    <row r="208" spans="1:7" x14ac:dyDescent="0.2">
      <c r="A208" s="51">
        <v>31</v>
      </c>
      <c r="B208" s="56" t="str">
        <f t="shared" si="3"/>
        <v>Non encadrant direction ou coordinationAssistant socio-éducatif de classe exceptionnelle</v>
      </c>
      <c r="C208" s="96" t="s">
        <v>166</v>
      </c>
      <c r="D208" s="48">
        <v>5932</v>
      </c>
      <c r="E208" s="42" t="s">
        <v>399</v>
      </c>
      <c r="F208" s="40">
        <v>750</v>
      </c>
      <c r="G208" s="97"/>
    </row>
    <row r="209" spans="1:7" x14ac:dyDescent="0.2">
      <c r="A209" s="51">
        <v>31</v>
      </c>
      <c r="B209" s="56" t="str">
        <f t="shared" si="3"/>
        <v>Non encadrant direction ou coordinationEducateur de jeunes enfants</v>
      </c>
      <c r="C209" s="96" t="s">
        <v>166</v>
      </c>
      <c r="D209" s="41" t="s">
        <v>139</v>
      </c>
      <c r="E209" s="42" t="s">
        <v>410</v>
      </c>
      <c r="F209" s="40">
        <v>750</v>
      </c>
      <c r="G209" s="97"/>
    </row>
    <row r="210" spans="1:7" x14ac:dyDescent="0.2">
      <c r="A210" s="51">
        <v>31</v>
      </c>
      <c r="B210" s="56" t="str">
        <f t="shared" si="3"/>
        <v>Non encadrant direction ou coordinationEducateur de jeunes enfants de classe exceptionnelle</v>
      </c>
      <c r="C210" s="96" t="s">
        <v>166</v>
      </c>
      <c r="D210" s="41" t="s">
        <v>140</v>
      </c>
      <c r="E210" s="42" t="s">
        <v>411</v>
      </c>
      <c r="F210" s="40">
        <v>750</v>
      </c>
      <c r="G210" s="97"/>
    </row>
    <row r="211" spans="1:7" x14ac:dyDescent="0.2">
      <c r="A211" s="51">
        <v>21</v>
      </c>
      <c r="B211" s="56" t="str">
        <f t="shared" si="3"/>
        <v>Expertise informatiqueAttaché</v>
      </c>
      <c r="C211" s="96" t="s">
        <v>167</v>
      </c>
      <c r="D211" s="45" t="s">
        <v>97</v>
      </c>
      <c r="E211" s="42" t="s">
        <v>10</v>
      </c>
      <c r="F211" s="36">
        <v>1225</v>
      </c>
      <c r="G211" s="97"/>
    </row>
    <row r="212" spans="1:7" x14ac:dyDescent="0.2">
      <c r="A212" s="51">
        <v>21</v>
      </c>
      <c r="B212" s="56" t="str">
        <f t="shared" si="3"/>
        <v>Expertise informatiqueAttaché principal</v>
      </c>
      <c r="C212" s="96" t="s">
        <v>167</v>
      </c>
      <c r="D212" s="45" t="s">
        <v>96</v>
      </c>
      <c r="E212" s="42" t="s">
        <v>11</v>
      </c>
      <c r="F212" s="36">
        <v>1375</v>
      </c>
      <c r="G212" s="97"/>
    </row>
    <row r="213" spans="1:7" x14ac:dyDescent="0.2">
      <c r="A213" s="51">
        <v>21</v>
      </c>
      <c r="B213" s="56" t="str">
        <f t="shared" si="3"/>
        <v>Expertise informatiqueIngénieur HCl</v>
      </c>
      <c r="C213" s="96" t="s">
        <v>167</v>
      </c>
      <c r="D213" s="48">
        <v>2724</v>
      </c>
      <c r="E213" s="42" t="s">
        <v>104</v>
      </c>
      <c r="F213" s="36">
        <v>1625</v>
      </c>
      <c r="G213" s="98"/>
    </row>
    <row r="214" spans="1:7" x14ac:dyDescent="0.2">
      <c r="A214" s="51">
        <v>21</v>
      </c>
      <c r="B214" s="56" t="str">
        <f t="shared" si="3"/>
        <v>Expertise informatiqueIngénieur Pal</v>
      </c>
      <c r="C214" s="96" t="s">
        <v>167</v>
      </c>
      <c r="D214" s="48">
        <v>2722</v>
      </c>
      <c r="E214" s="42" t="s">
        <v>105</v>
      </c>
      <c r="F214" s="36">
        <v>1625</v>
      </c>
      <c r="G214" s="98"/>
    </row>
    <row r="215" spans="1:7" x14ac:dyDescent="0.2">
      <c r="A215" s="51">
        <v>21</v>
      </c>
      <c r="B215" s="56" t="str">
        <f t="shared" si="3"/>
        <v>Expertise informatiqueIngénieur</v>
      </c>
      <c r="C215" s="96" t="s">
        <v>167</v>
      </c>
      <c r="D215" s="48">
        <v>2720</v>
      </c>
      <c r="E215" s="42" t="s">
        <v>88</v>
      </c>
      <c r="F215" s="36">
        <v>1625</v>
      </c>
      <c r="G215" s="98"/>
    </row>
    <row r="216" spans="1:7" x14ac:dyDescent="0.2">
      <c r="A216" s="51">
        <v>86</v>
      </c>
      <c r="B216" s="56" t="str">
        <f t="shared" si="3"/>
        <v>Non encadrant.e direction ou coordination expertise informatiqueAttaché</v>
      </c>
      <c r="C216" s="96" t="s">
        <v>168</v>
      </c>
      <c r="D216" s="45" t="s">
        <v>97</v>
      </c>
      <c r="E216" s="42" t="s">
        <v>10</v>
      </c>
      <c r="F216" s="36">
        <v>1275</v>
      </c>
      <c r="G216" s="97"/>
    </row>
    <row r="217" spans="1:7" x14ac:dyDescent="0.2">
      <c r="A217" s="51">
        <v>86</v>
      </c>
      <c r="B217" s="56" t="str">
        <f t="shared" si="3"/>
        <v>Non encadrant.e direction ou coordination expertise informatiqueAttaché principal</v>
      </c>
      <c r="C217" s="96" t="s">
        <v>168</v>
      </c>
      <c r="D217" s="45" t="s">
        <v>96</v>
      </c>
      <c r="E217" s="42" t="s">
        <v>11</v>
      </c>
      <c r="F217" s="36">
        <v>1425</v>
      </c>
      <c r="G217" s="97"/>
    </row>
    <row r="218" spans="1:7" x14ac:dyDescent="0.2">
      <c r="A218" s="51">
        <v>86</v>
      </c>
      <c r="B218" s="56" t="str">
        <f t="shared" si="3"/>
        <v>Non encadrant.e direction ou coordination expertise informatiqueIngénieur HCl</v>
      </c>
      <c r="C218" s="96" t="s">
        <v>168</v>
      </c>
      <c r="D218" s="48">
        <v>2724</v>
      </c>
      <c r="E218" s="42" t="s">
        <v>104</v>
      </c>
      <c r="F218" s="36">
        <v>1900</v>
      </c>
      <c r="G218" s="98"/>
    </row>
    <row r="219" spans="1:7" x14ac:dyDescent="0.2">
      <c r="A219" s="51">
        <v>86</v>
      </c>
      <c r="B219" s="56" t="str">
        <f t="shared" si="3"/>
        <v>Non encadrant.e direction ou coordination expertise informatiqueIngénieur Pal</v>
      </c>
      <c r="C219" s="96" t="s">
        <v>168</v>
      </c>
      <c r="D219" s="48">
        <v>2722</v>
      </c>
      <c r="E219" s="42" t="s">
        <v>105</v>
      </c>
      <c r="F219" s="36">
        <v>1900</v>
      </c>
      <c r="G219" s="98"/>
    </row>
    <row r="220" spans="1:7" x14ac:dyDescent="0.2">
      <c r="A220" s="51">
        <v>86</v>
      </c>
      <c r="B220" s="56" t="str">
        <f t="shared" si="3"/>
        <v>Non encadrant.e direction ou coordination expertise informatiqueIngénieur</v>
      </c>
      <c r="C220" s="96" t="s">
        <v>168</v>
      </c>
      <c r="D220" s="48">
        <v>2720</v>
      </c>
      <c r="E220" s="42" t="s">
        <v>88</v>
      </c>
      <c r="F220" s="36">
        <v>1900</v>
      </c>
      <c r="G220" s="98"/>
    </row>
    <row r="221" spans="1:7" x14ac:dyDescent="0.2">
      <c r="A221" s="49">
        <v>24</v>
      </c>
      <c r="B221" s="48" t="str">
        <f t="shared" si="3"/>
        <v>Sujétions niveau 2Infirmier en soins généraux</v>
      </c>
      <c r="C221" s="96" t="s">
        <v>169</v>
      </c>
      <c r="D221" s="45" t="s">
        <v>128</v>
      </c>
      <c r="E221" s="42" t="s">
        <v>390</v>
      </c>
      <c r="F221" s="36">
        <v>715</v>
      </c>
      <c r="G221" s="159" t="s">
        <v>170</v>
      </c>
    </row>
    <row r="222" spans="1:7" x14ac:dyDescent="0.2">
      <c r="A222" s="49">
        <v>24</v>
      </c>
      <c r="B222" s="48" t="str">
        <f t="shared" si="3"/>
        <v>Sujétions niveau 2Infirmier en soins généraux hors classe</v>
      </c>
      <c r="C222" s="96" t="s">
        <v>169</v>
      </c>
      <c r="D222" s="45" t="s">
        <v>127</v>
      </c>
      <c r="E222" s="42" t="s">
        <v>389</v>
      </c>
      <c r="F222" s="36">
        <v>715</v>
      </c>
      <c r="G222" s="159"/>
    </row>
    <row r="223" spans="1:7" x14ac:dyDescent="0.2">
      <c r="A223" s="101" t="s">
        <v>122</v>
      </c>
      <c r="B223" s="102" t="str">
        <f t="shared" si="3"/>
        <v>Responsable de serviceRédacteur</v>
      </c>
      <c r="C223" s="55" t="s">
        <v>123</v>
      </c>
      <c r="D223" s="45" t="s">
        <v>171</v>
      </c>
      <c r="E223" s="45" t="s">
        <v>0</v>
      </c>
      <c r="F223" s="36">
        <v>950</v>
      </c>
      <c r="G223" s="103"/>
    </row>
    <row r="224" spans="1:7" x14ac:dyDescent="0.2">
      <c r="A224" s="101" t="s">
        <v>122</v>
      </c>
      <c r="B224" s="102" t="str">
        <f t="shared" si="3"/>
        <v>Responsable de serviceRédacteur principal 2° classe</v>
      </c>
      <c r="C224" s="55" t="s">
        <v>123</v>
      </c>
      <c r="D224" s="45" t="s">
        <v>172</v>
      </c>
      <c r="E224" s="45" t="s">
        <v>290</v>
      </c>
      <c r="F224" s="36">
        <v>950</v>
      </c>
      <c r="G224" s="103"/>
    </row>
    <row r="225" spans="1:7" x14ac:dyDescent="0.2">
      <c r="A225" s="101" t="s">
        <v>122</v>
      </c>
      <c r="B225" s="102" t="str">
        <f t="shared" si="3"/>
        <v>Responsable de serviceRédacteur principal 1° classe</v>
      </c>
      <c r="C225" s="55" t="s">
        <v>123</v>
      </c>
      <c r="D225" s="45" t="s">
        <v>173</v>
      </c>
      <c r="E225" s="45" t="s">
        <v>291</v>
      </c>
      <c r="F225" s="36">
        <v>950</v>
      </c>
      <c r="G225" s="103"/>
    </row>
    <row r="226" spans="1:7" x14ac:dyDescent="0.2">
      <c r="A226" s="101" t="s">
        <v>122</v>
      </c>
      <c r="B226" s="102" t="str">
        <f t="shared" si="3"/>
        <v>Responsable de serviceTechnicien</v>
      </c>
      <c r="C226" s="55" t="s">
        <v>123</v>
      </c>
      <c r="D226" s="48">
        <v>2010</v>
      </c>
      <c r="E226" s="48" t="s">
        <v>174</v>
      </c>
      <c r="F226" s="36">
        <v>980</v>
      </c>
      <c r="G226" s="103"/>
    </row>
    <row r="227" spans="1:7" x14ac:dyDescent="0.2">
      <c r="A227" s="101" t="s">
        <v>122</v>
      </c>
      <c r="B227" s="102" t="str">
        <f t="shared" si="3"/>
        <v>Responsable de serviceTechnicien principal 2° classe</v>
      </c>
      <c r="C227" s="55" t="s">
        <v>123</v>
      </c>
      <c r="D227" s="48">
        <v>2012</v>
      </c>
      <c r="E227" s="48" t="s">
        <v>292</v>
      </c>
      <c r="F227" s="36">
        <v>980</v>
      </c>
      <c r="G227" s="103"/>
    </row>
    <row r="228" spans="1:7" x14ac:dyDescent="0.2">
      <c r="A228" s="101" t="s">
        <v>122</v>
      </c>
      <c r="B228" s="102" t="str">
        <f t="shared" si="3"/>
        <v>Responsable de serviceTechnicien principal 1° classe</v>
      </c>
      <c r="C228" s="55" t="s">
        <v>123</v>
      </c>
      <c r="D228" s="48">
        <v>2014</v>
      </c>
      <c r="E228" s="48" t="s">
        <v>293</v>
      </c>
      <c r="F228" s="36">
        <v>980</v>
      </c>
      <c r="G228" s="103"/>
    </row>
    <row r="229" spans="1:7" x14ac:dyDescent="0.2">
      <c r="A229" s="101" t="s">
        <v>122</v>
      </c>
      <c r="B229" s="102" t="str">
        <f t="shared" si="3"/>
        <v>Responsable de serviceAssistants conservation</v>
      </c>
      <c r="C229" s="55" t="s">
        <v>123</v>
      </c>
      <c r="D229" s="45" t="s">
        <v>175</v>
      </c>
      <c r="E229" s="45" t="s">
        <v>340</v>
      </c>
      <c r="F229" s="36">
        <v>950</v>
      </c>
      <c r="G229" s="103"/>
    </row>
    <row r="230" spans="1:7" x14ac:dyDescent="0.2">
      <c r="A230" s="101" t="s">
        <v>122</v>
      </c>
      <c r="B230" s="102" t="str">
        <f t="shared" si="3"/>
        <v>Responsable de serviceAssistants conservation principal 2° classe</v>
      </c>
      <c r="C230" s="55" t="s">
        <v>123</v>
      </c>
      <c r="D230" s="45" t="s">
        <v>176</v>
      </c>
      <c r="E230" s="45" t="s">
        <v>341</v>
      </c>
      <c r="F230" s="36">
        <v>950</v>
      </c>
      <c r="G230" s="103"/>
    </row>
    <row r="231" spans="1:7" x14ac:dyDescent="0.2">
      <c r="A231" s="101" t="s">
        <v>122</v>
      </c>
      <c r="B231" s="102" t="str">
        <f t="shared" si="3"/>
        <v>Responsable de serviceAssistants conservation principal 1° classe</v>
      </c>
      <c r="C231" s="55" t="s">
        <v>123</v>
      </c>
      <c r="D231" s="45" t="s">
        <v>177</v>
      </c>
      <c r="E231" s="45" t="s">
        <v>342</v>
      </c>
      <c r="F231" s="36">
        <v>950</v>
      </c>
      <c r="G231" s="103"/>
    </row>
    <row r="232" spans="1:7" x14ac:dyDescent="0.2">
      <c r="A232" s="101" t="s">
        <v>122</v>
      </c>
      <c r="B232" s="102" t="str">
        <f t="shared" si="3"/>
        <v>Responsable de serviceEducateur APS</v>
      </c>
      <c r="C232" s="55" t="s">
        <v>123</v>
      </c>
      <c r="D232" s="45" t="s">
        <v>178</v>
      </c>
      <c r="E232" s="45" t="s">
        <v>179</v>
      </c>
      <c r="F232" s="36">
        <v>950</v>
      </c>
      <c r="G232" s="103"/>
    </row>
    <row r="233" spans="1:7" x14ac:dyDescent="0.2">
      <c r="A233" s="101" t="s">
        <v>122</v>
      </c>
      <c r="B233" s="102" t="str">
        <f t="shared" si="3"/>
        <v>Responsable de serviceEducateur APS principal 2° classe</v>
      </c>
      <c r="C233" s="55" t="s">
        <v>123</v>
      </c>
      <c r="D233" s="45" t="s">
        <v>180</v>
      </c>
      <c r="E233" s="45" t="s">
        <v>320</v>
      </c>
      <c r="F233" s="36">
        <v>950</v>
      </c>
      <c r="G233" s="103"/>
    </row>
    <row r="234" spans="1:7" x14ac:dyDescent="0.2">
      <c r="A234" s="101" t="s">
        <v>122</v>
      </c>
      <c r="B234" s="102" t="str">
        <f t="shared" si="3"/>
        <v>Responsable de serviceEducateur APS principal 1° classe</v>
      </c>
      <c r="C234" s="55" t="s">
        <v>123</v>
      </c>
      <c r="D234" s="45" t="s">
        <v>181</v>
      </c>
      <c r="E234" s="45" t="s">
        <v>321</v>
      </c>
      <c r="F234" s="36">
        <v>950</v>
      </c>
      <c r="G234" s="103"/>
    </row>
    <row r="235" spans="1:7" x14ac:dyDescent="0.2">
      <c r="A235" s="101" t="s">
        <v>122</v>
      </c>
      <c r="B235" s="102" t="str">
        <f t="shared" si="3"/>
        <v>Responsable de serviceAuxiliaire de puériculture de classe normale</v>
      </c>
      <c r="C235" s="55" t="s">
        <v>123</v>
      </c>
      <c r="D235" s="48">
        <v>5612</v>
      </c>
      <c r="E235" s="45" t="s">
        <v>398</v>
      </c>
      <c r="F235" s="36">
        <v>950</v>
      </c>
      <c r="G235" s="103"/>
    </row>
    <row r="236" spans="1:7" x14ac:dyDescent="0.2">
      <c r="A236" s="101" t="s">
        <v>122</v>
      </c>
      <c r="B236" s="102" t="str">
        <f t="shared" si="3"/>
        <v>Responsable de serviceAuxiliaire de puériculture de classe supérieure</v>
      </c>
      <c r="C236" s="55" t="s">
        <v>123</v>
      </c>
      <c r="D236" s="48">
        <v>5614</v>
      </c>
      <c r="E236" s="45" t="s">
        <v>397</v>
      </c>
      <c r="F236" s="36">
        <v>950</v>
      </c>
      <c r="G236" s="103"/>
    </row>
    <row r="237" spans="1:7" x14ac:dyDescent="0.2">
      <c r="A237" s="101" t="s">
        <v>122</v>
      </c>
      <c r="B237" s="102" t="str">
        <f t="shared" si="3"/>
        <v>Responsable de serviceAide soignant de classe normale</v>
      </c>
      <c r="C237" s="55" t="s">
        <v>123</v>
      </c>
      <c r="D237" s="48">
        <v>5664</v>
      </c>
      <c r="E237" s="45" t="s">
        <v>396</v>
      </c>
      <c r="F237" s="36">
        <v>950</v>
      </c>
      <c r="G237" s="103"/>
    </row>
    <row r="238" spans="1:7" x14ac:dyDescent="0.2">
      <c r="A238" s="101" t="s">
        <v>122</v>
      </c>
      <c r="B238" s="102" t="str">
        <f t="shared" si="3"/>
        <v>Responsable de serviceAide soignant de classe supérieure</v>
      </c>
      <c r="C238" s="55" t="s">
        <v>123</v>
      </c>
      <c r="D238" s="48">
        <v>5662</v>
      </c>
      <c r="E238" s="45" t="s">
        <v>395</v>
      </c>
      <c r="F238" s="36">
        <v>950</v>
      </c>
      <c r="G238" s="103"/>
    </row>
    <row r="239" spans="1:7" x14ac:dyDescent="0.2">
      <c r="A239" s="101" t="s">
        <v>122</v>
      </c>
      <c r="B239" s="102" t="str">
        <f t="shared" si="3"/>
        <v>Responsable de serviceAnimateur</v>
      </c>
      <c r="C239" s="55" t="s">
        <v>123</v>
      </c>
      <c r="D239" s="45" t="s">
        <v>182</v>
      </c>
      <c r="E239" s="45" t="s">
        <v>183</v>
      </c>
      <c r="F239" s="36">
        <v>950</v>
      </c>
      <c r="G239" s="103"/>
    </row>
    <row r="240" spans="1:7" x14ac:dyDescent="0.2">
      <c r="A240" s="101" t="s">
        <v>122</v>
      </c>
      <c r="B240" s="102" t="str">
        <f t="shared" ref="B240:B303" si="4">C240&amp;E240</f>
        <v>Responsable de serviceAnimateur principal 2° classe</v>
      </c>
      <c r="C240" s="55" t="s">
        <v>123</v>
      </c>
      <c r="D240" s="45" t="s">
        <v>184</v>
      </c>
      <c r="E240" s="45" t="s">
        <v>309</v>
      </c>
      <c r="F240" s="36">
        <v>950</v>
      </c>
      <c r="G240" s="103"/>
    </row>
    <row r="241" spans="1:7" x14ac:dyDescent="0.2">
      <c r="A241" s="101" t="s">
        <v>122</v>
      </c>
      <c r="B241" s="102" t="str">
        <f t="shared" si="4"/>
        <v>Responsable de serviceAnimateur principal 1° classe</v>
      </c>
      <c r="C241" s="55" t="s">
        <v>123</v>
      </c>
      <c r="D241" s="45" t="s">
        <v>185</v>
      </c>
      <c r="E241" s="45" t="s">
        <v>310</v>
      </c>
      <c r="F241" s="36">
        <v>950</v>
      </c>
      <c r="G241" s="103"/>
    </row>
    <row r="242" spans="1:7" x14ac:dyDescent="0.2">
      <c r="A242" s="101" t="s">
        <v>131</v>
      </c>
      <c r="B242" s="102" t="str">
        <f t="shared" si="4"/>
        <v>Responsable de service expertise informatiqueRédacteur</v>
      </c>
      <c r="C242" s="55" t="s">
        <v>132</v>
      </c>
      <c r="D242" s="45" t="s">
        <v>171</v>
      </c>
      <c r="E242" s="45" t="s">
        <v>0</v>
      </c>
      <c r="F242" s="36">
        <v>1475</v>
      </c>
      <c r="G242" s="103"/>
    </row>
    <row r="243" spans="1:7" x14ac:dyDescent="0.2">
      <c r="A243" s="101" t="s">
        <v>131</v>
      </c>
      <c r="B243" s="102" t="str">
        <f t="shared" si="4"/>
        <v>Responsable de service expertise informatiqueRédacteur principal 2° classe</v>
      </c>
      <c r="C243" s="55" t="s">
        <v>132</v>
      </c>
      <c r="D243" s="45" t="s">
        <v>172</v>
      </c>
      <c r="E243" s="45" t="s">
        <v>290</v>
      </c>
      <c r="F243" s="36">
        <v>1475</v>
      </c>
      <c r="G243" s="103"/>
    </row>
    <row r="244" spans="1:7" x14ac:dyDescent="0.2">
      <c r="A244" s="101" t="s">
        <v>131</v>
      </c>
      <c r="B244" s="102" t="str">
        <f t="shared" si="4"/>
        <v>Responsable de service expertise informatiqueRédacteur principal 1° classe</v>
      </c>
      <c r="C244" s="55" t="s">
        <v>132</v>
      </c>
      <c r="D244" s="45" t="s">
        <v>173</v>
      </c>
      <c r="E244" s="45" t="s">
        <v>291</v>
      </c>
      <c r="F244" s="36">
        <v>1475</v>
      </c>
      <c r="G244" s="103"/>
    </row>
    <row r="245" spans="1:7" x14ac:dyDescent="0.2">
      <c r="A245" s="101" t="s">
        <v>131</v>
      </c>
      <c r="B245" s="102" t="str">
        <f t="shared" si="4"/>
        <v>Responsable de service expertise informatiqueTechnicien</v>
      </c>
      <c r="C245" s="55" t="s">
        <v>132</v>
      </c>
      <c r="D245" s="48">
        <v>2010</v>
      </c>
      <c r="E245" s="48" t="s">
        <v>174</v>
      </c>
      <c r="F245" s="36">
        <v>1505</v>
      </c>
      <c r="G245" s="103"/>
    </row>
    <row r="246" spans="1:7" x14ac:dyDescent="0.2">
      <c r="A246" s="101" t="s">
        <v>131</v>
      </c>
      <c r="B246" s="102" t="str">
        <f t="shared" si="4"/>
        <v>Responsable de service expertise informatiqueTechnicien principal 2° classe</v>
      </c>
      <c r="C246" s="55" t="s">
        <v>132</v>
      </c>
      <c r="D246" s="48">
        <v>2012</v>
      </c>
      <c r="E246" s="48" t="s">
        <v>292</v>
      </c>
      <c r="F246" s="36">
        <v>1505</v>
      </c>
      <c r="G246" s="103"/>
    </row>
    <row r="247" spans="1:7" x14ac:dyDescent="0.2">
      <c r="A247" s="101" t="s">
        <v>131</v>
      </c>
      <c r="B247" s="102" t="str">
        <f t="shared" si="4"/>
        <v>Responsable de service expertise informatiqueTechnicien principal 1° classe</v>
      </c>
      <c r="C247" s="55" t="s">
        <v>132</v>
      </c>
      <c r="D247" s="48">
        <v>2014</v>
      </c>
      <c r="E247" s="48" t="s">
        <v>293</v>
      </c>
      <c r="F247" s="36">
        <v>1505</v>
      </c>
      <c r="G247" s="103"/>
    </row>
    <row r="248" spans="1:7" x14ac:dyDescent="0.2">
      <c r="A248" s="101" t="s">
        <v>133</v>
      </c>
      <c r="B248" s="102" t="str">
        <f t="shared" si="4"/>
        <v>Responsable de secteurRédacteur</v>
      </c>
      <c r="C248" s="55" t="s">
        <v>134</v>
      </c>
      <c r="D248" s="45" t="s">
        <v>171</v>
      </c>
      <c r="E248" s="45" t="s">
        <v>0</v>
      </c>
      <c r="F248" s="36">
        <v>850</v>
      </c>
      <c r="G248" s="103"/>
    </row>
    <row r="249" spans="1:7" x14ac:dyDescent="0.2">
      <c r="A249" s="101" t="s">
        <v>133</v>
      </c>
      <c r="B249" s="102" t="str">
        <f t="shared" si="4"/>
        <v>Responsable de secteurRédacteur principal 2° classe</v>
      </c>
      <c r="C249" s="55" t="s">
        <v>134</v>
      </c>
      <c r="D249" s="45" t="s">
        <v>172</v>
      </c>
      <c r="E249" s="45" t="s">
        <v>290</v>
      </c>
      <c r="F249" s="36">
        <v>850</v>
      </c>
      <c r="G249" s="103"/>
    </row>
    <row r="250" spans="1:7" x14ac:dyDescent="0.2">
      <c r="A250" s="101" t="s">
        <v>133</v>
      </c>
      <c r="B250" s="102" t="str">
        <f t="shared" si="4"/>
        <v>Responsable de secteurRédacteur principal 1° classe</v>
      </c>
      <c r="C250" s="55" t="s">
        <v>134</v>
      </c>
      <c r="D250" s="45" t="s">
        <v>173</v>
      </c>
      <c r="E250" s="45" t="s">
        <v>291</v>
      </c>
      <c r="F250" s="36">
        <v>850</v>
      </c>
      <c r="G250" s="103"/>
    </row>
    <row r="251" spans="1:7" x14ac:dyDescent="0.2">
      <c r="A251" s="101" t="s">
        <v>133</v>
      </c>
      <c r="B251" s="102" t="str">
        <f t="shared" si="4"/>
        <v>Responsable de secteurTechnicien</v>
      </c>
      <c r="C251" s="55" t="s">
        <v>134</v>
      </c>
      <c r="D251" s="48">
        <v>2010</v>
      </c>
      <c r="E251" s="48" t="s">
        <v>174</v>
      </c>
      <c r="F251" s="36">
        <v>880</v>
      </c>
      <c r="G251" s="103"/>
    </row>
    <row r="252" spans="1:7" x14ac:dyDescent="0.2">
      <c r="A252" s="101" t="s">
        <v>133</v>
      </c>
      <c r="B252" s="102" t="str">
        <f t="shared" si="4"/>
        <v>Responsable de secteurTechnicien principal 2° classe</v>
      </c>
      <c r="C252" s="55" t="s">
        <v>134</v>
      </c>
      <c r="D252" s="48">
        <v>2012</v>
      </c>
      <c r="E252" s="48" t="s">
        <v>292</v>
      </c>
      <c r="F252" s="36">
        <v>880</v>
      </c>
      <c r="G252" s="103"/>
    </row>
    <row r="253" spans="1:7" x14ac:dyDescent="0.2">
      <c r="A253" s="101" t="s">
        <v>133</v>
      </c>
      <c r="B253" s="102" t="str">
        <f t="shared" si="4"/>
        <v>Responsable de secteurTechnicien principal 1° classe</v>
      </c>
      <c r="C253" s="55" t="s">
        <v>134</v>
      </c>
      <c r="D253" s="48">
        <v>2014</v>
      </c>
      <c r="E253" s="48" t="s">
        <v>293</v>
      </c>
      <c r="F253" s="36">
        <v>880</v>
      </c>
      <c r="G253" s="103"/>
    </row>
    <row r="254" spans="1:7" x14ac:dyDescent="0.2">
      <c r="A254" s="101" t="s">
        <v>133</v>
      </c>
      <c r="B254" s="102" t="str">
        <f t="shared" si="4"/>
        <v>Responsable de secteurAssistants conservation</v>
      </c>
      <c r="C254" s="55" t="s">
        <v>134</v>
      </c>
      <c r="D254" s="48" t="s">
        <v>175</v>
      </c>
      <c r="E254" s="45" t="s">
        <v>340</v>
      </c>
      <c r="F254" s="36">
        <v>850</v>
      </c>
      <c r="G254" s="103"/>
    </row>
    <row r="255" spans="1:7" x14ac:dyDescent="0.2">
      <c r="A255" s="101" t="s">
        <v>133</v>
      </c>
      <c r="B255" s="102" t="str">
        <f t="shared" si="4"/>
        <v>Responsable de secteurAssistants conservation principal 2° classe</v>
      </c>
      <c r="C255" s="55" t="s">
        <v>134</v>
      </c>
      <c r="D255" s="48" t="s">
        <v>176</v>
      </c>
      <c r="E255" s="45" t="s">
        <v>341</v>
      </c>
      <c r="F255" s="36">
        <v>850</v>
      </c>
      <c r="G255" s="103"/>
    </row>
    <row r="256" spans="1:7" x14ac:dyDescent="0.2">
      <c r="A256" s="101" t="s">
        <v>133</v>
      </c>
      <c r="B256" s="102" t="str">
        <f t="shared" si="4"/>
        <v>Responsable de secteurAssistants conservation principal 1° classe</v>
      </c>
      <c r="C256" s="55" t="s">
        <v>134</v>
      </c>
      <c r="D256" s="48" t="s">
        <v>177</v>
      </c>
      <c r="E256" s="45" t="s">
        <v>342</v>
      </c>
      <c r="F256" s="36">
        <v>850</v>
      </c>
      <c r="G256" s="103"/>
    </row>
    <row r="257" spans="1:7" x14ac:dyDescent="0.2">
      <c r="A257" s="101" t="s">
        <v>133</v>
      </c>
      <c r="B257" s="102" t="str">
        <f t="shared" si="4"/>
        <v>Responsable de secteurEducateur APS</v>
      </c>
      <c r="C257" s="55" t="s">
        <v>134</v>
      </c>
      <c r="D257" s="48" t="s">
        <v>178</v>
      </c>
      <c r="E257" s="48" t="s">
        <v>179</v>
      </c>
      <c r="F257" s="36">
        <v>850</v>
      </c>
      <c r="G257" s="103"/>
    </row>
    <row r="258" spans="1:7" x14ac:dyDescent="0.2">
      <c r="A258" s="101" t="s">
        <v>133</v>
      </c>
      <c r="B258" s="102" t="str">
        <f t="shared" si="4"/>
        <v>Responsable de secteurEducateur APS principal 2° classe</v>
      </c>
      <c r="C258" s="55" t="s">
        <v>134</v>
      </c>
      <c r="D258" s="48" t="s">
        <v>180</v>
      </c>
      <c r="E258" s="45" t="s">
        <v>320</v>
      </c>
      <c r="F258" s="36">
        <v>850</v>
      </c>
      <c r="G258" s="103"/>
    </row>
    <row r="259" spans="1:7" x14ac:dyDescent="0.2">
      <c r="A259" s="101" t="s">
        <v>133</v>
      </c>
      <c r="B259" s="102" t="str">
        <f t="shared" si="4"/>
        <v>Responsable de secteurEducateur APS principal 1° classe</v>
      </c>
      <c r="C259" s="55" t="s">
        <v>134</v>
      </c>
      <c r="D259" s="48" t="s">
        <v>181</v>
      </c>
      <c r="E259" s="45" t="s">
        <v>321</v>
      </c>
      <c r="F259" s="36">
        <v>850</v>
      </c>
      <c r="G259" s="103"/>
    </row>
    <row r="260" spans="1:7" x14ac:dyDescent="0.2">
      <c r="A260" s="101" t="s">
        <v>133</v>
      </c>
      <c r="B260" s="102" t="str">
        <f t="shared" si="4"/>
        <v>Responsable de secteurAuxiliaire de puériculture de classe normale</v>
      </c>
      <c r="C260" s="55" t="s">
        <v>134</v>
      </c>
      <c r="D260" s="48">
        <v>5612</v>
      </c>
      <c r="E260" s="45" t="s">
        <v>398</v>
      </c>
      <c r="F260" s="36">
        <v>850</v>
      </c>
      <c r="G260" s="103"/>
    </row>
    <row r="261" spans="1:7" x14ac:dyDescent="0.2">
      <c r="A261" s="101" t="s">
        <v>133</v>
      </c>
      <c r="B261" s="102" t="str">
        <f t="shared" si="4"/>
        <v>Responsable de secteurAuxiliaire de puériculture de classe supérieure</v>
      </c>
      <c r="C261" s="55" t="s">
        <v>134</v>
      </c>
      <c r="D261" s="48">
        <v>5614</v>
      </c>
      <c r="E261" s="45" t="s">
        <v>397</v>
      </c>
      <c r="F261" s="36">
        <v>850</v>
      </c>
      <c r="G261" s="103"/>
    </row>
    <row r="262" spans="1:7" x14ac:dyDescent="0.2">
      <c r="A262" s="101" t="s">
        <v>133</v>
      </c>
      <c r="B262" s="102" t="str">
        <f t="shared" si="4"/>
        <v>Responsable de secteurAide soignant de classe normale</v>
      </c>
      <c r="C262" s="55" t="s">
        <v>134</v>
      </c>
      <c r="D262" s="48">
        <v>5664</v>
      </c>
      <c r="E262" s="45" t="s">
        <v>396</v>
      </c>
      <c r="F262" s="36">
        <v>850</v>
      </c>
      <c r="G262" s="103"/>
    </row>
    <row r="263" spans="1:7" x14ac:dyDescent="0.2">
      <c r="A263" s="101" t="s">
        <v>133</v>
      </c>
      <c r="B263" s="102" t="str">
        <f t="shared" si="4"/>
        <v>Responsable de secteurAide soignant de classe supérieure</v>
      </c>
      <c r="C263" s="55" t="s">
        <v>134</v>
      </c>
      <c r="D263" s="48">
        <v>5662</v>
      </c>
      <c r="E263" s="45" t="s">
        <v>395</v>
      </c>
      <c r="F263" s="36">
        <v>850</v>
      </c>
      <c r="G263" s="103"/>
    </row>
    <row r="264" spans="1:7" x14ac:dyDescent="0.2">
      <c r="A264" s="101" t="s">
        <v>133</v>
      </c>
      <c r="B264" s="102" t="str">
        <f t="shared" si="4"/>
        <v>Responsable de secteurAnimateur</v>
      </c>
      <c r="C264" s="55" t="s">
        <v>134</v>
      </c>
      <c r="D264" s="48" t="s">
        <v>182</v>
      </c>
      <c r="E264" s="48" t="s">
        <v>183</v>
      </c>
      <c r="F264" s="36">
        <v>850</v>
      </c>
      <c r="G264" s="103"/>
    </row>
    <row r="265" spans="1:7" x14ac:dyDescent="0.2">
      <c r="A265" s="101" t="s">
        <v>133</v>
      </c>
      <c r="B265" s="102" t="str">
        <f t="shared" si="4"/>
        <v>Responsable de secteurAnimateur principal 2° classe</v>
      </c>
      <c r="C265" s="55" t="s">
        <v>134</v>
      </c>
      <c r="D265" s="48" t="s">
        <v>184</v>
      </c>
      <c r="E265" s="45" t="s">
        <v>309</v>
      </c>
      <c r="F265" s="36">
        <v>850</v>
      </c>
      <c r="G265" s="103"/>
    </row>
    <row r="266" spans="1:7" x14ac:dyDescent="0.2">
      <c r="A266" s="101" t="s">
        <v>133</v>
      </c>
      <c r="B266" s="102" t="str">
        <f t="shared" si="4"/>
        <v>Responsable de secteurAnimateur principal 1° classe</v>
      </c>
      <c r="C266" s="55" t="s">
        <v>134</v>
      </c>
      <c r="D266" s="48" t="s">
        <v>185</v>
      </c>
      <c r="E266" s="45" t="s">
        <v>310</v>
      </c>
      <c r="F266" s="36">
        <v>850</v>
      </c>
      <c r="G266" s="103"/>
    </row>
    <row r="267" spans="1:7" x14ac:dyDescent="0.2">
      <c r="A267" s="101" t="s">
        <v>186</v>
      </c>
      <c r="B267" s="102" t="str">
        <f t="shared" si="4"/>
        <v>Responsable de secteur expertise informatique poste ARédacteur</v>
      </c>
      <c r="C267" s="55" t="s">
        <v>187</v>
      </c>
      <c r="D267" s="45" t="s">
        <v>171</v>
      </c>
      <c r="E267" s="45" t="s">
        <v>0</v>
      </c>
      <c r="F267" s="36">
        <v>1375</v>
      </c>
      <c r="G267" s="103"/>
    </row>
    <row r="268" spans="1:7" x14ac:dyDescent="0.2">
      <c r="A268" s="101" t="s">
        <v>186</v>
      </c>
      <c r="B268" s="102" t="str">
        <f t="shared" si="4"/>
        <v>Responsable de secteur expertise informatique poste ARédacteur principal 2° classe</v>
      </c>
      <c r="C268" s="55" t="s">
        <v>187</v>
      </c>
      <c r="D268" s="45" t="s">
        <v>172</v>
      </c>
      <c r="E268" s="45" t="s">
        <v>290</v>
      </c>
      <c r="F268" s="36">
        <v>1375</v>
      </c>
      <c r="G268" s="103"/>
    </row>
    <row r="269" spans="1:7" x14ac:dyDescent="0.2">
      <c r="A269" s="101" t="s">
        <v>186</v>
      </c>
      <c r="B269" s="102" t="str">
        <f t="shared" si="4"/>
        <v>Responsable de secteur expertise informatique poste ARédacteur principal 1° classe</v>
      </c>
      <c r="C269" s="55" t="s">
        <v>187</v>
      </c>
      <c r="D269" s="45" t="s">
        <v>173</v>
      </c>
      <c r="E269" s="45" t="s">
        <v>291</v>
      </c>
      <c r="F269" s="36">
        <v>1375</v>
      </c>
      <c r="G269" s="103"/>
    </row>
    <row r="270" spans="1:7" x14ac:dyDescent="0.2">
      <c r="A270" s="101" t="s">
        <v>186</v>
      </c>
      <c r="B270" s="102" t="str">
        <f t="shared" si="4"/>
        <v>Responsable de secteur expertise informatique poste ATechnicien</v>
      </c>
      <c r="C270" s="55" t="s">
        <v>187</v>
      </c>
      <c r="D270" s="48">
        <v>2010</v>
      </c>
      <c r="E270" s="48" t="s">
        <v>174</v>
      </c>
      <c r="F270" s="36">
        <v>1405</v>
      </c>
      <c r="G270" s="103"/>
    </row>
    <row r="271" spans="1:7" x14ac:dyDescent="0.2">
      <c r="A271" s="101" t="s">
        <v>186</v>
      </c>
      <c r="B271" s="102" t="str">
        <f t="shared" si="4"/>
        <v>Responsable de secteur expertise informatique poste ATechnicien principal 2° classe</v>
      </c>
      <c r="C271" s="55" t="s">
        <v>187</v>
      </c>
      <c r="D271" s="48">
        <v>2012</v>
      </c>
      <c r="E271" s="48" t="s">
        <v>292</v>
      </c>
      <c r="F271" s="36">
        <v>1405</v>
      </c>
      <c r="G271" s="103"/>
    </row>
    <row r="272" spans="1:7" x14ac:dyDescent="0.2">
      <c r="A272" s="101" t="s">
        <v>186</v>
      </c>
      <c r="B272" s="102" t="str">
        <f t="shared" si="4"/>
        <v>Responsable de secteur expertise informatique poste ATechnicien principal 1° classe</v>
      </c>
      <c r="C272" s="55" t="s">
        <v>187</v>
      </c>
      <c r="D272" s="48">
        <v>2014</v>
      </c>
      <c r="E272" s="48" t="s">
        <v>293</v>
      </c>
      <c r="F272" s="36">
        <v>1405</v>
      </c>
      <c r="G272" s="103"/>
    </row>
    <row r="273" spans="1:7" x14ac:dyDescent="0.2">
      <c r="A273" s="101" t="s">
        <v>141</v>
      </c>
      <c r="B273" s="102" t="str">
        <f t="shared" si="4"/>
        <v>Responsable de secteur expertise informatiqueRédacteur</v>
      </c>
      <c r="C273" s="55" t="s">
        <v>142</v>
      </c>
      <c r="D273" s="45" t="s">
        <v>171</v>
      </c>
      <c r="E273" s="45" t="s">
        <v>0</v>
      </c>
      <c r="F273" s="36">
        <v>1200</v>
      </c>
      <c r="G273" s="103"/>
    </row>
    <row r="274" spans="1:7" x14ac:dyDescent="0.2">
      <c r="A274" s="101" t="s">
        <v>141</v>
      </c>
      <c r="B274" s="102" t="str">
        <f t="shared" si="4"/>
        <v>Responsable de secteur expertise informatiqueRédacteur principal 2° classe</v>
      </c>
      <c r="C274" s="55" t="s">
        <v>142</v>
      </c>
      <c r="D274" s="45" t="s">
        <v>172</v>
      </c>
      <c r="E274" s="45" t="s">
        <v>290</v>
      </c>
      <c r="F274" s="36">
        <v>1200</v>
      </c>
      <c r="G274" s="103"/>
    </row>
    <row r="275" spans="1:7" x14ac:dyDescent="0.2">
      <c r="A275" s="101" t="s">
        <v>141</v>
      </c>
      <c r="B275" s="102" t="str">
        <f t="shared" si="4"/>
        <v>Responsable de secteur expertise informatiqueRédacteur principal 1° classe</v>
      </c>
      <c r="C275" s="55" t="s">
        <v>142</v>
      </c>
      <c r="D275" s="45" t="s">
        <v>173</v>
      </c>
      <c r="E275" s="45" t="s">
        <v>291</v>
      </c>
      <c r="F275" s="36">
        <v>1200</v>
      </c>
      <c r="G275" s="103"/>
    </row>
    <row r="276" spans="1:7" x14ac:dyDescent="0.2">
      <c r="A276" s="101" t="s">
        <v>141</v>
      </c>
      <c r="B276" s="102" t="str">
        <f t="shared" si="4"/>
        <v>Responsable de secteur expertise informatiqueTechnicien</v>
      </c>
      <c r="C276" s="55" t="s">
        <v>142</v>
      </c>
      <c r="D276" s="48">
        <v>2010</v>
      </c>
      <c r="E276" s="48" t="s">
        <v>174</v>
      </c>
      <c r="F276" s="36">
        <v>1230</v>
      </c>
      <c r="G276" s="103"/>
    </row>
    <row r="277" spans="1:7" x14ac:dyDescent="0.2">
      <c r="A277" s="101" t="s">
        <v>141</v>
      </c>
      <c r="B277" s="102" t="str">
        <f t="shared" si="4"/>
        <v>Responsable de secteur expertise informatiqueTechnicien principal 2° classe</v>
      </c>
      <c r="C277" s="55" t="s">
        <v>142</v>
      </c>
      <c r="D277" s="48">
        <v>2012</v>
      </c>
      <c r="E277" s="48" t="s">
        <v>292</v>
      </c>
      <c r="F277" s="36">
        <v>1230</v>
      </c>
      <c r="G277" s="103"/>
    </row>
    <row r="278" spans="1:7" x14ac:dyDescent="0.2">
      <c r="A278" s="101" t="s">
        <v>141</v>
      </c>
      <c r="B278" s="102" t="str">
        <f t="shared" si="4"/>
        <v>Responsable de secteur expertise informatiqueTechnicien principal 1° classe</v>
      </c>
      <c r="C278" s="55" t="s">
        <v>142</v>
      </c>
      <c r="D278" s="48">
        <v>2014</v>
      </c>
      <c r="E278" s="48" t="s">
        <v>293</v>
      </c>
      <c r="F278" s="36">
        <v>1230</v>
      </c>
      <c r="G278" s="103"/>
    </row>
    <row r="279" spans="1:7" x14ac:dyDescent="0.2">
      <c r="A279" s="101" t="s">
        <v>146</v>
      </c>
      <c r="B279" s="102" t="str">
        <f t="shared" si="4"/>
        <v>Responsable d'unitéRédacteur</v>
      </c>
      <c r="C279" s="55" t="s">
        <v>147</v>
      </c>
      <c r="D279" s="48" t="s">
        <v>171</v>
      </c>
      <c r="E279" s="45" t="s">
        <v>0</v>
      </c>
      <c r="F279" s="36">
        <v>770</v>
      </c>
      <c r="G279" s="103"/>
    </row>
    <row r="280" spans="1:7" x14ac:dyDescent="0.2">
      <c r="A280" s="101" t="s">
        <v>146</v>
      </c>
      <c r="B280" s="102" t="str">
        <f t="shared" si="4"/>
        <v>Responsable d'unitéRédacteur principal 2° classe</v>
      </c>
      <c r="C280" s="55" t="s">
        <v>147</v>
      </c>
      <c r="D280" s="48" t="s">
        <v>172</v>
      </c>
      <c r="E280" s="45" t="s">
        <v>290</v>
      </c>
      <c r="F280" s="36">
        <v>770</v>
      </c>
      <c r="G280" s="103"/>
    </row>
    <row r="281" spans="1:7" x14ac:dyDescent="0.2">
      <c r="A281" s="101" t="s">
        <v>146</v>
      </c>
      <c r="B281" s="102" t="str">
        <f t="shared" si="4"/>
        <v>Responsable d'unitéRédacteur principal 1° classe</v>
      </c>
      <c r="C281" s="55" t="s">
        <v>147</v>
      </c>
      <c r="D281" s="48" t="s">
        <v>173</v>
      </c>
      <c r="E281" s="45" t="s">
        <v>291</v>
      </c>
      <c r="F281" s="36">
        <v>770</v>
      </c>
      <c r="G281" s="103"/>
    </row>
    <row r="282" spans="1:7" x14ac:dyDescent="0.2">
      <c r="A282" s="101" t="s">
        <v>146</v>
      </c>
      <c r="B282" s="102" t="str">
        <f t="shared" si="4"/>
        <v>Responsable d'unitéTechnicien</v>
      </c>
      <c r="C282" s="55" t="s">
        <v>147</v>
      </c>
      <c r="D282" s="48">
        <v>2010</v>
      </c>
      <c r="E282" s="45" t="s">
        <v>174</v>
      </c>
      <c r="F282" s="36">
        <v>780</v>
      </c>
      <c r="G282" s="103"/>
    </row>
    <row r="283" spans="1:7" x14ac:dyDescent="0.2">
      <c r="A283" s="101" t="s">
        <v>146</v>
      </c>
      <c r="B283" s="102" t="str">
        <f t="shared" si="4"/>
        <v>Responsable d'unitéTechnicien principal 2° classe</v>
      </c>
      <c r="C283" s="55" t="s">
        <v>147</v>
      </c>
      <c r="D283" s="48">
        <v>2012</v>
      </c>
      <c r="E283" s="48" t="s">
        <v>292</v>
      </c>
      <c r="F283" s="36">
        <v>780</v>
      </c>
      <c r="G283" s="103"/>
    </row>
    <row r="284" spans="1:7" x14ac:dyDescent="0.2">
      <c r="A284" s="101" t="s">
        <v>146</v>
      </c>
      <c r="B284" s="102" t="str">
        <f t="shared" si="4"/>
        <v>Responsable d'unitéTechnicien principal 1° classe</v>
      </c>
      <c r="C284" s="55" t="s">
        <v>147</v>
      </c>
      <c r="D284" s="48">
        <v>2014</v>
      </c>
      <c r="E284" s="48" t="s">
        <v>293</v>
      </c>
      <c r="F284" s="36">
        <v>780</v>
      </c>
      <c r="G284" s="103"/>
    </row>
    <row r="285" spans="1:7" x14ac:dyDescent="0.2">
      <c r="A285" s="101" t="s">
        <v>146</v>
      </c>
      <c r="B285" s="102" t="str">
        <f t="shared" si="4"/>
        <v>Responsable d'unitéAssistants conservation</v>
      </c>
      <c r="C285" s="55" t="s">
        <v>147</v>
      </c>
      <c r="D285" s="48" t="s">
        <v>175</v>
      </c>
      <c r="E285" s="45" t="s">
        <v>340</v>
      </c>
      <c r="F285" s="36">
        <v>770</v>
      </c>
      <c r="G285" s="103"/>
    </row>
    <row r="286" spans="1:7" x14ac:dyDescent="0.2">
      <c r="A286" s="101" t="s">
        <v>146</v>
      </c>
      <c r="B286" s="102" t="str">
        <f t="shared" si="4"/>
        <v>Responsable d'unitéAssistants conservation principal 2° classe</v>
      </c>
      <c r="C286" s="55" t="s">
        <v>147</v>
      </c>
      <c r="D286" s="48" t="s">
        <v>176</v>
      </c>
      <c r="E286" s="45" t="s">
        <v>341</v>
      </c>
      <c r="F286" s="36">
        <v>770</v>
      </c>
      <c r="G286" s="103"/>
    </row>
    <row r="287" spans="1:7" x14ac:dyDescent="0.2">
      <c r="A287" s="101" t="s">
        <v>146</v>
      </c>
      <c r="B287" s="102" t="str">
        <f t="shared" si="4"/>
        <v>Responsable d'unitéAssistants conservation principal 1° classe</v>
      </c>
      <c r="C287" s="55" t="s">
        <v>147</v>
      </c>
      <c r="D287" s="48" t="s">
        <v>177</v>
      </c>
      <c r="E287" s="45" t="s">
        <v>342</v>
      </c>
      <c r="F287" s="36">
        <v>770</v>
      </c>
      <c r="G287" s="103"/>
    </row>
    <row r="288" spans="1:7" x14ac:dyDescent="0.2">
      <c r="A288" s="101" t="s">
        <v>146</v>
      </c>
      <c r="B288" s="102" t="str">
        <f t="shared" si="4"/>
        <v>Responsable d'unitéEducateur APS</v>
      </c>
      <c r="C288" s="55" t="s">
        <v>147</v>
      </c>
      <c r="D288" s="48" t="s">
        <v>178</v>
      </c>
      <c r="E288" s="45" t="s">
        <v>179</v>
      </c>
      <c r="F288" s="36">
        <v>770</v>
      </c>
      <c r="G288" s="103"/>
    </row>
    <row r="289" spans="1:7" x14ac:dyDescent="0.2">
      <c r="A289" s="101" t="s">
        <v>146</v>
      </c>
      <c r="B289" s="102" t="str">
        <f t="shared" si="4"/>
        <v>Responsable d'unitéEducateur APS principal 2° classe</v>
      </c>
      <c r="C289" s="55" t="s">
        <v>147</v>
      </c>
      <c r="D289" s="48" t="s">
        <v>180</v>
      </c>
      <c r="E289" s="45" t="s">
        <v>320</v>
      </c>
      <c r="F289" s="36">
        <v>770</v>
      </c>
      <c r="G289" s="103"/>
    </row>
    <row r="290" spans="1:7" x14ac:dyDescent="0.2">
      <c r="A290" s="101" t="s">
        <v>146</v>
      </c>
      <c r="B290" s="102" t="str">
        <f t="shared" si="4"/>
        <v>Responsable d'unitéEducateur APS principal 1° classe</v>
      </c>
      <c r="C290" s="55" t="s">
        <v>147</v>
      </c>
      <c r="D290" s="48" t="s">
        <v>181</v>
      </c>
      <c r="E290" s="45" t="s">
        <v>321</v>
      </c>
      <c r="F290" s="36">
        <v>770</v>
      </c>
      <c r="G290" s="103"/>
    </row>
    <row r="291" spans="1:7" x14ac:dyDescent="0.2">
      <c r="A291" s="101" t="s">
        <v>146</v>
      </c>
      <c r="B291" s="102" t="str">
        <f t="shared" si="4"/>
        <v>Responsable d'unitéAuxiliaire de puériculture de classe normale</v>
      </c>
      <c r="C291" s="55" t="s">
        <v>147</v>
      </c>
      <c r="D291" s="48">
        <v>5612</v>
      </c>
      <c r="E291" s="45" t="s">
        <v>398</v>
      </c>
      <c r="F291" s="36">
        <v>770</v>
      </c>
      <c r="G291" s="103"/>
    </row>
    <row r="292" spans="1:7" x14ac:dyDescent="0.2">
      <c r="A292" s="101" t="s">
        <v>146</v>
      </c>
      <c r="B292" s="102" t="str">
        <f t="shared" si="4"/>
        <v>Responsable d'unitéAuxiliaire de puériculture de classe supérieure</v>
      </c>
      <c r="C292" s="55" t="s">
        <v>147</v>
      </c>
      <c r="D292" s="48">
        <v>5614</v>
      </c>
      <c r="E292" s="45" t="s">
        <v>397</v>
      </c>
      <c r="F292" s="36">
        <v>770</v>
      </c>
      <c r="G292" s="103"/>
    </row>
    <row r="293" spans="1:7" x14ac:dyDescent="0.2">
      <c r="A293" s="101" t="s">
        <v>146</v>
      </c>
      <c r="B293" s="102" t="str">
        <f t="shared" si="4"/>
        <v>Responsable d'unitéAide soignant de classe normale</v>
      </c>
      <c r="C293" s="55" t="s">
        <v>147</v>
      </c>
      <c r="D293" s="48">
        <v>5664</v>
      </c>
      <c r="E293" s="45" t="s">
        <v>396</v>
      </c>
      <c r="F293" s="36">
        <v>770</v>
      </c>
      <c r="G293" s="103"/>
    </row>
    <row r="294" spans="1:7" x14ac:dyDescent="0.2">
      <c r="A294" s="101" t="s">
        <v>146</v>
      </c>
      <c r="B294" s="102" t="str">
        <f t="shared" si="4"/>
        <v>Responsable d'unitéAide soignant de classe supérieure</v>
      </c>
      <c r="C294" s="55" t="s">
        <v>147</v>
      </c>
      <c r="D294" s="48">
        <v>5662</v>
      </c>
      <c r="E294" s="45" t="s">
        <v>395</v>
      </c>
      <c r="F294" s="36">
        <v>770</v>
      </c>
      <c r="G294" s="103"/>
    </row>
    <row r="295" spans="1:7" x14ac:dyDescent="0.2">
      <c r="A295" s="101" t="s">
        <v>146</v>
      </c>
      <c r="B295" s="102" t="str">
        <f t="shared" si="4"/>
        <v>Responsable d'unitéAnimateur</v>
      </c>
      <c r="C295" s="55" t="s">
        <v>147</v>
      </c>
      <c r="D295" s="48" t="s">
        <v>182</v>
      </c>
      <c r="E295" s="45" t="s">
        <v>183</v>
      </c>
      <c r="F295" s="36">
        <v>770</v>
      </c>
      <c r="G295" s="103"/>
    </row>
    <row r="296" spans="1:7" x14ac:dyDescent="0.2">
      <c r="A296" s="101" t="s">
        <v>146</v>
      </c>
      <c r="B296" s="102" t="str">
        <f t="shared" si="4"/>
        <v>Responsable d'unitéAnimateur principal 2° classe</v>
      </c>
      <c r="C296" s="55" t="s">
        <v>147</v>
      </c>
      <c r="D296" s="48" t="s">
        <v>184</v>
      </c>
      <c r="E296" s="45" t="s">
        <v>309</v>
      </c>
      <c r="F296" s="36">
        <v>770</v>
      </c>
      <c r="G296" s="103"/>
    </row>
    <row r="297" spans="1:7" x14ac:dyDescent="0.2">
      <c r="A297" s="101" t="s">
        <v>146</v>
      </c>
      <c r="B297" s="102" t="str">
        <f t="shared" si="4"/>
        <v>Responsable d'unitéAnimateur principal 1° classe</v>
      </c>
      <c r="C297" s="55" t="s">
        <v>147</v>
      </c>
      <c r="D297" s="48" t="s">
        <v>185</v>
      </c>
      <c r="E297" s="45" t="s">
        <v>310</v>
      </c>
      <c r="F297" s="36">
        <v>770</v>
      </c>
      <c r="G297" s="103"/>
    </row>
    <row r="298" spans="1:7" x14ac:dyDescent="0.2">
      <c r="A298" s="101" t="s">
        <v>188</v>
      </c>
      <c r="B298" s="102" t="str">
        <f t="shared" si="4"/>
        <v>Responsable d'unité expertise informatique poste ARédacteur</v>
      </c>
      <c r="C298" s="55" t="s">
        <v>189</v>
      </c>
      <c r="D298" s="48" t="s">
        <v>171</v>
      </c>
      <c r="E298" s="45" t="s">
        <v>0</v>
      </c>
      <c r="F298" s="36">
        <v>1295</v>
      </c>
      <c r="G298" s="103"/>
    </row>
    <row r="299" spans="1:7" x14ac:dyDescent="0.2">
      <c r="A299" s="101" t="s">
        <v>188</v>
      </c>
      <c r="B299" s="102" t="str">
        <f t="shared" si="4"/>
        <v>Responsable d'unité expertise informatique poste ARédacteur principal 2° classe</v>
      </c>
      <c r="C299" s="55" t="s">
        <v>189</v>
      </c>
      <c r="D299" s="48" t="s">
        <v>172</v>
      </c>
      <c r="E299" s="45" t="s">
        <v>290</v>
      </c>
      <c r="F299" s="36">
        <v>1295</v>
      </c>
      <c r="G299" s="103"/>
    </row>
    <row r="300" spans="1:7" x14ac:dyDescent="0.2">
      <c r="A300" s="101" t="s">
        <v>188</v>
      </c>
      <c r="B300" s="102" t="str">
        <f t="shared" si="4"/>
        <v>Responsable d'unité expertise informatique poste ARédacteur principal 1° classe</v>
      </c>
      <c r="C300" s="55" t="s">
        <v>189</v>
      </c>
      <c r="D300" s="48" t="s">
        <v>173</v>
      </c>
      <c r="E300" s="45" t="s">
        <v>291</v>
      </c>
      <c r="F300" s="36">
        <v>1295</v>
      </c>
      <c r="G300" s="103"/>
    </row>
    <row r="301" spans="1:7" x14ac:dyDescent="0.2">
      <c r="A301" s="101" t="s">
        <v>188</v>
      </c>
      <c r="B301" s="102" t="str">
        <f t="shared" si="4"/>
        <v>Responsable d'unité expertise informatique poste ATechnicien</v>
      </c>
      <c r="C301" s="55" t="s">
        <v>189</v>
      </c>
      <c r="D301" s="48">
        <v>2010</v>
      </c>
      <c r="E301" s="45" t="s">
        <v>174</v>
      </c>
      <c r="F301" s="36">
        <v>1405</v>
      </c>
      <c r="G301" s="103"/>
    </row>
    <row r="302" spans="1:7" x14ac:dyDescent="0.2">
      <c r="A302" s="101" t="s">
        <v>188</v>
      </c>
      <c r="B302" s="102" t="str">
        <f t="shared" si="4"/>
        <v>Responsable d'unité expertise informatique poste ATechnicien principal 2° classe</v>
      </c>
      <c r="C302" s="55" t="s">
        <v>189</v>
      </c>
      <c r="D302" s="48">
        <v>2012</v>
      </c>
      <c r="E302" s="48" t="s">
        <v>292</v>
      </c>
      <c r="F302" s="36">
        <v>1405</v>
      </c>
      <c r="G302" s="103"/>
    </row>
    <row r="303" spans="1:7" x14ac:dyDescent="0.2">
      <c r="A303" s="101" t="s">
        <v>188</v>
      </c>
      <c r="B303" s="102" t="str">
        <f t="shared" si="4"/>
        <v>Responsable d'unité expertise informatique poste ATechnicien principal 1° classe</v>
      </c>
      <c r="C303" s="55" t="s">
        <v>189</v>
      </c>
      <c r="D303" s="48">
        <v>2014</v>
      </c>
      <c r="E303" s="48" t="s">
        <v>293</v>
      </c>
      <c r="F303" s="36">
        <v>1405</v>
      </c>
      <c r="G303" s="103"/>
    </row>
    <row r="304" spans="1:7" x14ac:dyDescent="0.2">
      <c r="A304" s="101" t="s">
        <v>148</v>
      </c>
      <c r="B304" s="102" t="str">
        <f t="shared" ref="B304:B367" si="5">C304&amp;E304</f>
        <v>Responsable d'unité expertise informatiqueRédacteur</v>
      </c>
      <c r="C304" s="55" t="s">
        <v>149</v>
      </c>
      <c r="D304" s="48" t="s">
        <v>171</v>
      </c>
      <c r="E304" s="45" t="s">
        <v>0</v>
      </c>
      <c r="F304" s="36">
        <v>1120</v>
      </c>
      <c r="G304" s="103"/>
    </row>
    <row r="305" spans="1:7" x14ac:dyDescent="0.2">
      <c r="A305" s="101" t="s">
        <v>148</v>
      </c>
      <c r="B305" s="102" t="str">
        <f t="shared" si="5"/>
        <v>Responsable d'unité expertise informatiqueRédacteur principal 2° classe</v>
      </c>
      <c r="C305" s="55" t="s">
        <v>149</v>
      </c>
      <c r="D305" s="48" t="s">
        <v>172</v>
      </c>
      <c r="E305" s="45" t="s">
        <v>290</v>
      </c>
      <c r="F305" s="36">
        <v>1120</v>
      </c>
      <c r="G305" s="103"/>
    </row>
    <row r="306" spans="1:7" x14ac:dyDescent="0.2">
      <c r="A306" s="101" t="s">
        <v>148</v>
      </c>
      <c r="B306" s="102" t="str">
        <f t="shared" si="5"/>
        <v>Responsable d'unité expertise informatiqueRédacteur principal 1° classe</v>
      </c>
      <c r="C306" s="55" t="s">
        <v>149</v>
      </c>
      <c r="D306" s="48" t="s">
        <v>173</v>
      </c>
      <c r="E306" s="45" t="s">
        <v>291</v>
      </c>
      <c r="F306" s="36">
        <v>1120</v>
      </c>
      <c r="G306" s="103"/>
    </row>
    <row r="307" spans="1:7" x14ac:dyDescent="0.2">
      <c r="A307" s="101" t="s">
        <v>148</v>
      </c>
      <c r="B307" s="102" t="str">
        <f t="shared" si="5"/>
        <v>Responsable d'unité expertise informatiqueTechnicien</v>
      </c>
      <c r="C307" s="55" t="s">
        <v>149</v>
      </c>
      <c r="D307" s="48">
        <v>2010</v>
      </c>
      <c r="E307" s="45" t="s">
        <v>174</v>
      </c>
      <c r="F307" s="36">
        <v>1130</v>
      </c>
      <c r="G307" s="103"/>
    </row>
    <row r="308" spans="1:7" x14ac:dyDescent="0.2">
      <c r="A308" s="101" t="s">
        <v>148</v>
      </c>
      <c r="B308" s="102" t="str">
        <f t="shared" si="5"/>
        <v>Responsable d'unité expertise informatiqueTechnicien principal 2° classe</v>
      </c>
      <c r="C308" s="55" t="s">
        <v>149</v>
      </c>
      <c r="D308" s="48">
        <v>2012</v>
      </c>
      <c r="E308" s="48" t="s">
        <v>292</v>
      </c>
      <c r="F308" s="36">
        <v>1130</v>
      </c>
      <c r="G308" s="103"/>
    </row>
    <row r="309" spans="1:7" x14ac:dyDescent="0.2">
      <c r="A309" s="101" t="s">
        <v>148</v>
      </c>
      <c r="B309" s="102" t="str">
        <f t="shared" si="5"/>
        <v>Responsable d'unité expertise informatiqueTechnicien principal 1° classe</v>
      </c>
      <c r="C309" s="55" t="s">
        <v>149</v>
      </c>
      <c r="D309" s="48">
        <v>2014</v>
      </c>
      <c r="E309" s="48" t="s">
        <v>293</v>
      </c>
      <c r="F309" s="36">
        <v>1130</v>
      </c>
      <c r="G309" s="103"/>
    </row>
    <row r="310" spans="1:7" x14ac:dyDescent="0.2">
      <c r="A310" s="101" t="s">
        <v>150</v>
      </c>
      <c r="B310" s="102" t="str">
        <f t="shared" si="5"/>
        <v>Responsable d'équipeRédacteur</v>
      </c>
      <c r="C310" s="55" t="s">
        <v>151</v>
      </c>
      <c r="D310" s="48" t="s">
        <v>171</v>
      </c>
      <c r="E310" s="45" t="s">
        <v>0</v>
      </c>
      <c r="F310" s="36">
        <v>700</v>
      </c>
      <c r="G310" s="103"/>
    </row>
    <row r="311" spans="1:7" x14ac:dyDescent="0.2">
      <c r="A311" s="101" t="s">
        <v>150</v>
      </c>
      <c r="B311" s="102" t="str">
        <f t="shared" si="5"/>
        <v>Responsable d'équipeRédacteur principal 2° classe</v>
      </c>
      <c r="C311" s="55" t="s">
        <v>151</v>
      </c>
      <c r="D311" s="48" t="s">
        <v>172</v>
      </c>
      <c r="E311" s="45" t="s">
        <v>290</v>
      </c>
      <c r="F311" s="36">
        <v>700</v>
      </c>
      <c r="G311" s="103"/>
    </row>
    <row r="312" spans="1:7" x14ac:dyDescent="0.2">
      <c r="A312" s="101" t="s">
        <v>150</v>
      </c>
      <c r="B312" s="102" t="str">
        <f t="shared" si="5"/>
        <v>Responsable d'équipeRédacteur principal 1° classe</v>
      </c>
      <c r="C312" s="55" t="s">
        <v>151</v>
      </c>
      <c r="D312" s="48" t="s">
        <v>173</v>
      </c>
      <c r="E312" s="45" t="s">
        <v>291</v>
      </c>
      <c r="F312" s="36">
        <v>700</v>
      </c>
      <c r="G312" s="103"/>
    </row>
    <row r="313" spans="1:7" x14ac:dyDescent="0.2">
      <c r="A313" s="101" t="s">
        <v>150</v>
      </c>
      <c r="B313" s="102" t="str">
        <f t="shared" si="5"/>
        <v>Responsable d'équipeTechnicien</v>
      </c>
      <c r="C313" s="55" t="s">
        <v>151</v>
      </c>
      <c r="D313" s="48">
        <v>2010</v>
      </c>
      <c r="E313" s="45" t="s">
        <v>174</v>
      </c>
      <c r="F313" s="36">
        <v>730</v>
      </c>
      <c r="G313" s="103"/>
    </row>
    <row r="314" spans="1:7" x14ac:dyDescent="0.2">
      <c r="A314" s="101" t="s">
        <v>150</v>
      </c>
      <c r="B314" s="102" t="str">
        <f t="shared" si="5"/>
        <v>Responsable d'équipeTechnicien principal 2° classe</v>
      </c>
      <c r="C314" s="55" t="s">
        <v>151</v>
      </c>
      <c r="D314" s="48">
        <v>2012</v>
      </c>
      <c r="E314" s="48" t="s">
        <v>292</v>
      </c>
      <c r="F314" s="36">
        <v>730</v>
      </c>
      <c r="G314" s="103"/>
    </row>
    <row r="315" spans="1:7" x14ac:dyDescent="0.2">
      <c r="A315" s="101" t="s">
        <v>150</v>
      </c>
      <c r="B315" s="102" t="str">
        <f t="shared" si="5"/>
        <v>Responsable d'équipeTechnicien principal 1° classe</v>
      </c>
      <c r="C315" s="55" t="s">
        <v>151</v>
      </c>
      <c r="D315" s="48">
        <v>2014</v>
      </c>
      <c r="E315" s="48" t="s">
        <v>293</v>
      </c>
      <c r="F315" s="36">
        <v>730</v>
      </c>
      <c r="G315" s="103"/>
    </row>
    <row r="316" spans="1:7" x14ac:dyDescent="0.2">
      <c r="A316" s="101" t="s">
        <v>150</v>
      </c>
      <c r="B316" s="102" t="str">
        <f t="shared" si="5"/>
        <v>Responsable d'équipeAssistants conservation</v>
      </c>
      <c r="C316" s="55" t="s">
        <v>151</v>
      </c>
      <c r="D316" s="48" t="s">
        <v>175</v>
      </c>
      <c r="E316" s="45" t="s">
        <v>340</v>
      </c>
      <c r="F316" s="36">
        <v>700</v>
      </c>
      <c r="G316" s="103"/>
    </row>
    <row r="317" spans="1:7" x14ac:dyDescent="0.2">
      <c r="A317" s="101" t="s">
        <v>150</v>
      </c>
      <c r="B317" s="102" t="str">
        <f t="shared" si="5"/>
        <v>Responsable d'équipeAssistants conservation principal 2° classe</v>
      </c>
      <c r="C317" s="55" t="s">
        <v>151</v>
      </c>
      <c r="D317" s="48" t="s">
        <v>176</v>
      </c>
      <c r="E317" s="45" t="s">
        <v>341</v>
      </c>
      <c r="F317" s="36">
        <v>700</v>
      </c>
      <c r="G317" s="103"/>
    </row>
    <row r="318" spans="1:7" x14ac:dyDescent="0.2">
      <c r="A318" s="101" t="s">
        <v>150</v>
      </c>
      <c r="B318" s="102" t="str">
        <f t="shared" si="5"/>
        <v>Responsable d'équipeAssistants conservation principal 1° classe</v>
      </c>
      <c r="C318" s="55" t="s">
        <v>151</v>
      </c>
      <c r="D318" s="48" t="s">
        <v>177</v>
      </c>
      <c r="E318" s="45" t="s">
        <v>342</v>
      </c>
      <c r="F318" s="36">
        <v>700</v>
      </c>
      <c r="G318" s="103"/>
    </row>
    <row r="319" spans="1:7" x14ac:dyDescent="0.2">
      <c r="A319" s="101" t="s">
        <v>150</v>
      </c>
      <c r="B319" s="102" t="str">
        <f t="shared" si="5"/>
        <v>Responsable d'équipeEducateur APS</v>
      </c>
      <c r="C319" s="55" t="s">
        <v>151</v>
      </c>
      <c r="D319" s="48" t="s">
        <v>178</v>
      </c>
      <c r="E319" s="45" t="s">
        <v>179</v>
      </c>
      <c r="F319" s="36">
        <v>700</v>
      </c>
      <c r="G319" s="103"/>
    </row>
    <row r="320" spans="1:7" x14ac:dyDescent="0.2">
      <c r="A320" s="101" t="s">
        <v>150</v>
      </c>
      <c r="B320" s="102" t="str">
        <f t="shared" si="5"/>
        <v>Responsable d'équipeEducateur APS principal 2° classe</v>
      </c>
      <c r="C320" s="55" t="s">
        <v>151</v>
      </c>
      <c r="D320" s="48" t="s">
        <v>180</v>
      </c>
      <c r="E320" s="45" t="s">
        <v>320</v>
      </c>
      <c r="F320" s="36">
        <v>700</v>
      </c>
      <c r="G320" s="103"/>
    </row>
    <row r="321" spans="1:7" x14ac:dyDescent="0.2">
      <c r="A321" s="101" t="s">
        <v>150</v>
      </c>
      <c r="B321" s="102" t="str">
        <f t="shared" si="5"/>
        <v>Responsable d'équipeEducateur APS principal 1° classe</v>
      </c>
      <c r="C321" s="55" t="s">
        <v>151</v>
      </c>
      <c r="D321" s="48" t="s">
        <v>181</v>
      </c>
      <c r="E321" s="45" t="s">
        <v>321</v>
      </c>
      <c r="F321" s="36">
        <v>700</v>
      </c>
      <c r="G321" s="103"/>
    </row>
    <row r="322" spans="1:7" x14ac:dyDescent="0.2">
      <c r="A322" s="101" t="s">
        <v>150</v>
      </c>
      <c r="B322" s="102" t="str">
        <f t="shared" si="5"/>
        <v>Responsable d'équipeAuxiliaire de puériculture de classe normale</v>
      </c>
      <c r="C322" s="55" t="s">
        <v>151</v>
      </c>
      <c r="D322" s="48">
        <v>5612</v>
      </c>
      <c r="E322" s="45" t="s">
        <v>398</v>
      </c>
      <c r="F322" s="36">
        <v>700</v>
      </c>
      <c r="G322" s="103"/>
    </row>
    <row r="323" spans="1:7" x14ac:dyDescent="0.2">
      <c r="A323" s="101" t="s">
        <v>150</v>
      </c>
      <c r="B323" s="102" t="str">
        <f t="shared" si="5"/>
        <v>Responsable d'équipeAuxiliaire de puériculture de classe supérieure</v>
      </c>
      <c r="C323" s="55" t="s">
        <v>151</v>
      </c>
      <c r="D323" s="48">
        <v>5614</v>
      </c>
      <c r="E323" s="45" t="s">
        <v>397</v>
      </c>
      <c r="F323" s="36">
        <v>700</v>
      </c>
      <c r="G323" s="103"/>
    </row>
    <row r="324" spans="1:7" x14ac:dyDescent="0.2">
      <c r="A324" s="101" t="s">
        <v>150</v>
      </c>
      <c r="B324" s="102" t="str">
        <f t="shared" si="5"/>
        <v>Responsable d'équipeAide soignant de classe normale</v>
      </c>
      <c r="C324" s="55" t="s">
        <v>151</v>
      </c>
      <c r="D324" s="48">
        <v>5664</v>
      </c>
      <c r="E324" s="45" t="s">
        <v>396</v>
      </c>
      <c r="F324" s="36">
        <v>700</v>
      </c>
      <c r="G324" s="103"/>
    </row>
    <row r="325" spans="1:7" x14ac:dyDescent="0.2">
      <c r="A325" s="101" t="s">
        <v>150</v>
      </c>
      <c r="B325" s="102" t="str">
        <f t="shared" si="5"/>
        <v>Responsable d'équipeAide soignant de classe supérieure</v>
      </c>
      <c r="C325" s="55" t="s">
        <v>151</v>
      </c>
      <c r="D325" s="48">
        <v>5662</v>
      </c>
      <c r="E325" s="45" t="s">
        <v>395</v>
      </c>
      <c r="F325" s="36">
        <v>700</v>
      </c>
      <c r="G325" s="103"/>
    </row>
    <row r="326" spans="1:7" x14ac:dyDescent="0.2">
      <c r="A326" s="101" t="s">
        <v>150</v>
      </c>
      <c r="B326" s="102" t="str">
        <f t="shared" si="5"/>
        <v>Responsable d'équipeAnimateur</v>
      </c>
      <c r="C326" s="55" t="s">
        <v>151</v>
      </c>
      <c r="D326" s="48" t="s">
        <v>182</v>
      </c>
      <c r="E326" s="45" t="s">
        <v>183</v>
      </c>
      <c r="F326" s="36">
        <v>700</v>
      </c>
      <c r="G326" s="103"/>
    </row>
    <row r="327" spans="1:7" x14ac:dyDescent="0.2">
      <c r="A327" s="101" t="s">
        <v>150</v>
      </c>
      <c r="B327" s="102" t="str">
        <f t="shared" si="5"/>
        <v>Responsable d'équipeAnimateur principal 2° classe</v>
      </c>
      <c r="C327" s="55" t="s">
        <v>151</v>
      </c>
      <c r="D327" s="48" t="s">
        <v>184</v>
      </c>
      <c r="E327" s="45" t="s">
        <v>309</v>
      </c>
      <c r="F327" s="36">
        <v>700</v>
      </c>
      <c r="G327" s="103"/>
    </row>
    <row r="328" spans="1:7" x14ac:dyDescent="0.2">
      <c r="A328" s="101" t="s">
        <v>150</v>
      </c>
      <c r="B328" s="102" t="str">
        <f t="shared" si="5"/>
        <v>Responsable d'équipeAnimateur principal 1° classe</v>
      </c>
      <c r="C328" s="55" t="s">
        <v>151</v>
      </c>
      <c r="D328" s="48" t="s">
        <v>185</v>
      </c>
      <c r="E328" s="45" t="s">
        <v>310</v>
      </c>
      <c r="F328" s="36">
        <v>700</v>
      </c>
      <c r="G328" s="103"/>
    </row>
    <row r="329" spans="1:7" x14ac:dyDescent="0.2">
      <c r="A329" s="101" t="s">
        <v>190</v>
      </c>
      <c r="B329" s="102" t="str">
        <f t="shared" si="5"/>
        <v>Responsable d'équipe expertise informatique poste ARédacteur</v>
      </c>
      <c r="C329" s="55" t="s">
        <v>191</v>
      </c>
      <c r="D329" s="48" t="s">
        <v>171</v>
      </c>
      <c r="E329" s="45" t="s">
        <v>0</v>
      </c>
      <c r="F329" s="36">
        <v>1225</v>
      </c>
      <c r="G329" s="103"/>
    </row>
    <row r="330" spans="1:7" x14ac:dyDescent="0.2">
      <c r="A330" s="101" t="s">
        <v>190</v>
      </c>
      <c r="B330" s="102" t="str">
        <f t="shared" si="5"/>
        <v>Responsable d'équipe expertise informatique poste ARédacteur principal 2° classe</v>
      </c>
      <c r="C330" s="55" t="s">
        <v>191</v>
      </c>
      <c r="D330" s="48" t="s">
        <v>172</v>
      </c>
      <c r="E330" s="45" t="s">
        <v>290</v>
      </c>
      <c r="F330" s="36">
        <v>1225</v>
      </c>
      <c r="G330" s="103"/>
    </row>
    <row r="331" spans="1:7" x14ac:dyDescent="0.2">
      <c r="A331" s="101" t="s">
        <v>190</v>
      </c>
      <c r="B331" s="102" t="str">
        <f t="shared" si="5"/>
        <v>Responsable d'équipe expertise informatique poste ARédacteur principal 1° classe</v>
      </c>
      <c r="C331" s="55" t="s">
        <v>191</v>
      </c>
      <c r="D331" s="48" t="s">
        <v>173</v>
      </c>
      <c r="E331" s="45" t="s">
        <v>291</v>
      </c>
      <c r="F331" s="36">
        <v>1225</v>
      </c>
      <c r="G331" s="103"/>
    </row>
    <row r="332" spans="1:7" x14ac:dyDescent="0.2">
      <c r="A332" s="101" t="s">
        <v>190</v>
      </c>
      <c r="B332" s="102" t="str">
        <f t="shared" si="5"/>
        <v>Responsable d'équipe expertise informatique poste ATechnicien</v>
      </c>
      <c r="C332" s="55" t="s">
        <v>191</v>
      </c>
      <c r="D332" s="48">
        <v>2010</v>
      </c>
      <c r="E332" s="45" t="s">
        <v>174</v>
      </c>
      <c r="F332" s="36">
        <v>1405</v>
      </c>
      <c r="G332" s="103"/>
    </row>
    <row r="333" spans="1:7" x14ac:dyDescent="0.2">
      <c r="A333" s="101" t="s">
        <v>190</v>
      </c>
      <c r="B333" s="102" t="str">
        <f t="shared" si="5"/>
        <v>Responsable d'équipe expertise informatique poste ATechnicien principal 2° classe</v>
      </c>
      <c r="C333" s="55" t="s">
        <v>191</v>
      </c>
      <c r="D333" s="48">
        <v>2012</v>
      </c>
      <c r="E333" s="48" t="s">
        <v>292</v>
      </c>
      <c r="F333" s="36">
        <v>1405</v>
      </c>
      <c r="G333" s="103"/>
    </row>
    <row r="334" spans="1:7" x14ac:dyDescent="0.2">
      <c r="A334" s="101" t="s">
        <v>190</v>
      </c>
      <c r="B334" s="102" t="str">
        <f t="shared" si="5"/>
        <v>Responsable d'équipe expertise informatique poste ATechnicien principal 1° classe</v>
      </c>
      <c r="C334" s="55" t="s">
        <v>191</v>
      </c>
      <c r="D334" s="48">
        <v>2014</v>
      </c>
      <c r="E334" s="48" t="s">
        <v>293</v>
      </c>
      <c r="F334" s="36">
        <v>1405</v>
      </c>
      <c r="G334" s="103"/>
    </row>
    <row r="335" spans="1:7" x14ac:dyDescent="0.2">
      <c r="A335" s="101" t="s">
        <v>152</v>
      </c>
      <c r="B335" s="102" t="str">
        <f t="shared" si="5"/>
        <v>Responsable d'équipe expertise informatiqueRédacteur</v>
      </c>
      <c r="C335" s="55" t="s">
        <v>153</v>
      </c>
      <c r="D335" s="48" t="s">
        <v>171</v>
      </c>
      <c r="E335" s="45" t="s">
        <v>0</v>
      </c>
      <c r="F335" s="36">
        <v>1050</v>
      </c>
      <c r="G335" s="103"/>
    </row>
    <row r="336" spans="1:7" x14ac:dyDescent="0.2">
      <c r="A336" s="101" t="s">
        <v>152</v>
      </c>
      <c r="B336" s="102" t="str">
        <f t="shared" si="5"/>
        <v>Responsable d'équipe expertise informatiqueRédacteur principal 2° classe</v>
      </c>
      <c r="C336" s="55" t="s">
        <v>153</v>
      </c>
      <c r="D336" s="48" t="s">
        <v>172</v>
      </c>
      <c r="E336" s="45" t="s">
        <v>290</v>
      </c>
      <c r="F336" s="36">
        <v>1050</v>
      </c>
      <c r="G336" s="103"/>
    </row>
    <row r="337" spans="1:7" x14ac:dyDescent="0.2">
      <c r="A337" s="101" t="s">
        <v>152</v>
      </c>
      <c r="B337" s="102" t="str">
        <f t="shared" si="5"/>
        <v>Responsable d'équipe expertise informatiqueRédacteur principal 1° classe</v>
      </c>
      <c r="C337" s="55" t="s">
        <v>153</v>
      </c>
      <c r="D337" s="48" t="s">
        <v>173</v>
      </c>
      <c r="E337" s="45" t="s">
        <v>291</v>
      </c>
      <c r="F337" s="36">
        <v>1050</v>
      </c>
      <c r="G337" s="103"/>
    </row>
    <row r="338" spans="1:7" x14ac:dyDescent="0.2">
      <c r="A338" s="101" t="s">
        <v>152</v>
      </c>
      <c r="B338" s="102" t="str">
        <f t="shared" si="5"/>
        <v>Responsable d'équipe expertise informatiqueTechnicien</v>
      </c>
      <c r="C338" s="55" t="s">
        <v>153</v>
      </c>
      <c r="D338" s="48">
        <v>2010</v>
      </c>
      <c r="E338" s="45" t="s">
        <v>174</v>
      </c>
      <c r="F338" s="36">
        <v>1080</v>
      </c>
      <c r="G338" s="103"/>
    </row>
    <row r="339" spans="1:7" x14ac:dyDescent="0.2">
      <c r="A339" s="101" t="s">
        <v>152</v>
      </c>
      <c r="B339" s="102" t="str">
        <f t="shared" si="5"/>
        <v>Responsable d'équipe expertise informatiqueTechnicien principal 2° classe</v>
      </c>
      <c r="C339" s="55" t="s">
        <v>153</v>
      </c>
      <c r="D339" s="48">
        <v>2012</v>
      </c>
      <c r="E339" s="48" t="s">
        <v>292</v>
      </c>
      <c r="F339" s="36">
        <v>1080</v>
      </c>
      <c r="G339" s="103"/>
    </row>
    <row r="340" spans="1:7" x14ac:dyDescent="0.2">
      <c r="A340" s="101" t="s">
        <v>152</v>
      </c>
      <c r="B340" s="102" t="str">
        <f t="shared" si="5"/>
        <v>Responsable d'équipe expertise informatiqueTechnicien principal 1° classe</v>
      </c>
      <c r="C340" s="55" t="s">
        <v>153</v>
      </c>
      <c r="D340" s="48">
        <v>2014</v>
      </c>
      <c r="E340" s="48" t="s">
        <v>293</v>
      </c>
      <c r="F340" s="36">
        <v>1080</v>
      </c>
      <c r="G340" s="103"/>
    </row>
    <row r="341" spans="1:7" x14ac:dyDescent="0.2">
      <c r="A341" s="99">
        <v>20</v>
      </c>
      <c r="B341" s="104" t="str">
        <f t="shared" si="5"/>
        <v>Fonctions de catégorie supérieureRédacteur</v>
      </c>
      <c r="C341" s="50" t="s">
        <v>192</v>
      </c>
      <c r="D341" s="45" t="s">
        <v>171</v>
      </c>
      <c r="E341" s="45" t="s">
        <v>0</v>
      </c>
      <c r="F341" s="36">
        <v>640</v>
      </c>
      <c r="G341" s="159"/>
    </row>
    <row r="342" spans="1:7" x14ac:dyDescent="0.2">
      <c r="A342" s="99">
        <v>20</v>
      </c>
      <c r="B342" s="104" t="str">
        <f t="shared" si="5"/>
        <v>Fonctions de catégorie supérieureRédacteur principal 2° classe</v>
      </c>
      <c r="C342" s="50" t="s">
        <v>192</v>
      </c>
      <c r="D342" s="45" t="s">
        <v>172</v>
      </c>
      <c r="E342" s="45" t="s">
        <v>290</v>
      </c>
      <c r="F342" s="36">
        <v>640</v>
      </c>
      <c r="G342" s="159"/>
    </row>
    <row r="343" spans="1:7" x14ac:dyDescent="0.2">
      <c r="A343" s="99">
        <v>20</v>
      </c>
      <c r="B343" s="104" t="str">
        <f t="shared" si="5"/>
        <v>Fonctions de catégorie supérieureRédacteur principal 1° classe</v>
      </c>
      <c r="C343" s="50" t="s">
        <v>192</v>
      </c>
      <c r="D343" s="45" t="s">
        <v>173</v>
      </c>
      <c r="E343" s="45" t="s">
        <v>291</v>
      </c>
      <c r="F343" s="36">
        <v>640</v>
      </c>
      <c r="G343" s="159"/>
    </row>
    <row r="344" spans="1:7" x14ac:dyDescent="0.2">
      <c r="A344" s="99">
        <v>20</v>
      </c>
      <c r="B344" s="104" t="str">
        <f t="shared" si="5"/>
        <v>Fonctions de catégorie supérieureTechnicien</v>
      </c>
      <c r="C344" s="50" t="s">
        <v>192</v>
      </c>
      <c r="D344" s="48">
        <v>2010</v>
      </c>
      <c r="E344" s="45" t="s">
        <v>174</v>
      </c>
      <c r="F344" s="36">
        <v>880</v>
      </c>
      <c r="G344" s="159"/>
    </row>
    <row r="345" spans="1:7" x14ac:dyDescent="0.2">
      <c r="A345" s="99">
        <v>20</v>
      </c>
      <c r="B345" s="104" t="str">
        <f t="shared" si="5"/>
        <v>Fonctions de catégorie supérieureTechnicien principal 2° classe</v>
      </c>
      <c r="C345" s="50" t="s">
        <v>192</v>
      </c>
      <c r="D345" s="48">
        <v>2012</v>
      </c>
      <c r="E345" s="48" t="s">
        <v>292</v>
      </c>
      <c r="F345" s="36">
        <v>880</v>
      </c>
      <c r="G345" s="159"/>
    </row>
    <row r="346" spans="1:7" x14ac:dyDescent="0.2">
      <c r="A346" s="99">
        <v>20</v>
      </c>
      <c r="B346" s="104" t="str">
        <f t="shared" si="5"/>
        <v>Fonctions de catégorie supérieureTechnicien principal 1° classe</v>
      </c>
      <c r="C346" s="50" t="s">
        <v>192</v>
      </c>
      <c r="D346" s="48">
        <v>2014</v>
      </c>
      <c r="E346" s="48" t="s">
        <v>293</v>
      </c>
      <c r="F346" s="36">
        <v>880</v>
      </c>
      <c r="G346" s="159"/>
    </row>
    <row r="347" spans="1:7" x14ac:dyDescent="0.2">
      <c r="A347" s="99">
        <v>20</v>
      </c>
      <c r="B347" s="104" t="str">
        <f t="shared" si="5"/>
        <v>Fonctions de catégorie supérieureAssistants conservation</v>
      </c>
      <c r="C347" s="50" t="s">
        <v>192</v>
      </c>
      <c r="D347" s="45" t="s">
        <v>175</v>
      </c>
      <c r="E347" s="45" t="s">
        <v>340</v>
      </c>
      <c r="F347" s="36">
        <v>640</v>
      </c>
      <c r="G347" s="159"/>
    </row>
    <row r="348" spans="1:7" x14ac:dyDescent="0.2">
      <c r="A348" s="99">
        <v>20</v>
      </c>
      <c r="B348" s="104" t="str">
        <f t="shared" si="5"/>
        <v>Fonctions de catégorie supérieureAssistants conservation principal 2° classe</v>
      </c>
      <c r="C348" s="50" t="s">
        <v>192</v>
      </c>
      <c r="D348" s="45" t="s">
        <v>176</v>
      </c>
      <c r="E348" s="45" t="s">
        <v>341</v>
      </c>
      <c r="F348" s="36">
        <v>640</v>
      </c>
      <c r="G348" s="159"/>
    </row>
    <row r="349" spans="1:7" x14ac:dyDescent="0.2">
      <c r="A349" s="99">
        <v>20</v>
      </c>
      <c r="B349" s="104" t="str">
        <f t="shared" si="5"/>
        <v>Fonctions de catégorie supérieureAssistants conservation principal 1° classe</v>
      </c>
      <c r="C349" s="50" t="s">
        <v>192</v>
      </c>
      <c r="D349" s="45" t="s">
        <v>177</v>
      </c>
      <c r="E349" s="45" t="s">
        <v>342</v>
      </c>
      <c r="F349" s="36">
        <v>640</v>
      </c>
      <c r="G349" s="159"/>
    </row>
    <row r="350" spans="1:7" x14ac:dyDescent="0.2">
      <c r="A350" s="99">
        <v>20</v>
      </c>
      <c r="B350" s="104" t="str">
        <f t="shared" si="5"/>
        <v>Fonctions de catégorie supérieureAuxiliaire de puériculture de classe normale</v>
      </c>
      <c r="C350" s="50" t="s">
        <v>192</v>
      </c>
      <c r="D350" s="48">
        <v>5612</v>
      </c>
      <c r="E350" s="45" t="s">
        <v>398</v>
      </c>
      <c r="F350" s="36">
        <v>640</v>
      </c>
      <c r="G350" s="159"/>
    </row>
    <row r="351" spans="1:7" ht="25.5" x14ac:dyDescent="0.2">
      <c r="A351" s="99">
        <v>20</v>
      </c>
      <c r="B351" s="104" t="str">
        <f t="shared" si="5"/>
        <v>Fonctions de catégorie supérieureAuxiliaire de puériculture de classe supérieure</v>
      </c>
      <c r="C351" s="50" t="s">
        <v>192</v>
      </c>
      <c r="D351" s="48">
        <v>5614</v>
      </c>
      <c r="E351" s="45" t="s">
        <v>397</v>
      </c>
      <c r="F351" s="36">
        <v>640</v>
      </c>
      <c r="G351" s="159"/>
    </row>
    <row r="352" spans="1:7" x14ac:dyDescent="0.2">
      <c r="A352" s="99">
        <v>20</v>
      </c>
      <c r="B352" s="104" t="str">
        <f t="shared" si="5"/>
        <v>Fonctions de catégorie supérieureAide soignant de classe normale</v>
      </c>
      <c r="C352" s="50" t="s">
        <v>192</v>
      </c>
      <c r="D352" s="48">
        <v>5664</v>
      </c>
      <c r="E352" s="45" t="s">
        <v>396</v>
      </c>
      <c r="F352" s="36">
        <v>640</v>
      </c>
      <c r="G352" s="159"/>
    </row>
    <row r="353" spans="1:7" x14ac:dyDescent="0.2">
      <c r="A353" s="99">
        <v>20</v>
      </c>
      <c r="B353" s="104" t="str">
        <f t="shared" si="5"/>
        <v>Fonctions de catégorie supérieureAide soignant de classe supérieure</v>
      </c>
      <c r="C353" s="50" t="s">
        <v>192</v>
      </c>
      <c r="D353" s="48">
        <v>5662</v>
      </c>
      <c r="E353" s="45" t="s">
        <v>395</v>
      </c>
      <c r="F353" s="36">
        <v>640</v>
      </c>
      <c r="G353" s="159"/>
    </row>
    <row r="354" spans="1:7" x14ac:dyDescent="0.2">
      <c r="A354" s="99">
        <v>20</v>
      </c>
      <c r="B354" s="104" t="str">
        <f t="shared" si="5"/>
        <v>Fonctions de catégorie supérieureEducateur APS</v>
      </c>
      <c r="C354" s="50" t="s">
        <v>192</v>
      </c>
      <c r="D354" s="45" t="s">
        <v>178</v>
      </c>
      <c r="E354" s="45" t="s">
        <v>179</v>
      </c>
      <c r="F354" s="36">
        <v>640</v>
      </c>
      <c r="G354" s="159"/>
    </row>
    <row r="355" spans="1:7" x14ac:dyDescent="0.2">
      <c r="A355" s="99">
        <v>20</v>
      </c>
      <c r="B355" s="104" t="str">
        <f t="shared" si="5"/>
        <v>Fonctions de catégorie supérieureEducateur APS principal 2° classe</v>
      </c>
      <c r="C355" s="50" t="s">
        <v>192</v>
      </c>
      <c r="D355" s="45" t="s">
        <v>180</v>
      </c>
      <c r="E355" s="45" t="s">
        <v>320</v>
      </c>
      <c r="F355" s="36">
        <v>640</v>
      </c>
      <c r="G355" s="159"/>
    </row>
    <row r="356" spans="1:7" x14ac:dyDescent="0.2">
      <c r="A356" s="99">
        <v>20</v>
      </c>
      <c r="B356" s="104" t="str">
        <f t="shared" si="5"/>
        <v>Fonctions de catégorie supérieureEducateur APS principal 1° classe</v>
      </c>
      <c r="C356" s="50" t="s">
        <v>192</v>
      </c>
      <c r="D356" s="45" t="s">
        <v>181</v>
      </c>
      <c r="E356" s="45" t="s">
        <v>321</v>
      </c>
      <c r="F356" s="36">
        <v>640</v>
      </c>
      <c r="G356" s="159"/>
    </row>
    <row r="357" spans="1:7" x14ac:dyDescent="0.2">
      <c r="A357" s="99">
        <v>20</v>
      </c>
      <c r="B357" s="104" t="str">
        <f t="shared" si="5"/>
        <v>Fonctions de catégorie supérieureAnimateur</v>
      </c>
      <c r="C357" s="50" t="s">
        <v>192</v>
      </c>
      <c r="D357" s="45" t="s">
        <v>182</v>
      </c>
      <c r="E357" s="45" t="s">
        <v>183</v>
      </c>
      <c r="F357" s="36">
        <v>640</v>
      </c>
      <c r="G357" s="159"/>
    </row>
    <row r="358" spans="1:7" x14ac:dyDescent="0.2">
      <c r="A358" s="99">
        <v>20</v>
      </c>
      <c r="B358" s="104" t="str">
        <f t="shared" si="5"/>
        <v>Fonctions de catégorie supérieureAnimateur principal 2° classe</v>
      </c>
      <c r="C358" s="50" t="s">
        <v>192</v>
      </c>
      <c r="D358" s="45" t="s">
        <v>184</v>
      </c>
      <c r="E358" s="45" t="s">
        <v>309</v>
      </c>
      <c r="F358" s="36">
        <v>640</v>
      </c>
      <c r="G358" s="159"/>
    </row>
    <row r="359" spans="1:7" x14ac:dyDescent="0.2">
      <c r="A359" s="99">
        <v>20</v>
      </c>
      <c r="B359" s="104" t="str">
        <f t="shared" si="5"/>
        <v>Fonctions de catégorie supérieureAnimateur principal 1° classe</v>
      </c>
      <c r="C359" s="50" t="s">
        <v>192</v>
      </c>
      <c r="D359" s="45" t="s">
        <v>185</v>
      </c>
      <c r="E359" s="45" t="s">
        <v>310</v>
      </c>
      <c r="F359" s="36">
        <v>640</v>
      </c>
      <c r="G359" s="159"/>
    </row>
    <row r="360" spans="1:7" ht="25.5" x14ac:dyDescent="0.2">
      <c r="A360" s="99">
        <v>28</v>
      </c>
      <c r="B360" s="104" t="str">
        <f t="shared" si="5"/>
        <v>Fonctions de catégorie supérieure expertise informatiqueRédacteur</v>
      </c>
      <c r="C360" s="50" t="s">
        <v>193</v>
      </c>
      <c r="D360" s="45" t="s">
        <v>171</v>
      </c>
      <c r="E360" s="45" t="s">
        <v>0</v>
      </c>
      <c r="F360" s="36">
        <v>1165</v>
      </c>
      <c r="G360" s="99"/>
    </row>
    <row r="361" spans="1:7" ht="25.5" x14ac:dyDescent="0.2">
      <c r="A361" s="99">
        <v>28</v>
      </c>
      <c r="B361" s="104" t="str">
        <f t="shared" si="5"/>
        <v>Fonctions de catégorie supérieure expertise informatiqueRédacteur principal 2° classe</v>
      </c>
      <c r="C361" s="50" t="s">
        <v>193</v>
      </c>
      <c r="D361" s="45" t="s">
        <v>172</v>
      </c>
      <c r="E361" s="45" t="s">
        <v>290</v>
      </c>
      <c r="F361" s="36">
        <v>1165</v>
      </c>
      <c r="G361" s="99"/>
    </row>
    <row r="362" spans="1:7" ht="25.5" x14ac:dyDescent="0.2">
      <c r="A362" s="99">
        <v>28</v>
      </c>
      <c r="B362" s="104" t="str">
        <f t="shared" si="5"/>
        <v>Fonctions de catégorie supérieure expertise informatiqueRédacteur principal 1° classe</v>
      </c>
      <c r="C362" s="50" t="s">
        <v>193</v>
      </c>
      <c r="D362" s="45" t="s">
        <v>173</v>
      </c>
      <c r="E362" s="45" t="s">
        <v>291</v>
      </c>
      <c r="F362" s="36">
        <v>1165</v>
      </c>
      <c r="G362" s="99"/>
    </row>
    <row r="363" spans="1:7" ht="25.5" x14ac:dyDescent="0.2">
      <c r="A363" s="99">
        <v>28</v>
      </c>
      <c r="B363" s="104" t="str">
        <f t="shared" si="5"/>
        <v>Fonctions de catégorie supérieure expertise informatiqueTechnicien</v>
      </c>
      <c r="C363" s="50" t="s">
        <v>193</v>
      </c>
      <c r="D363" s="48">
        <v>2010</v>
      </c>
      <c r="E363" s="45" t="s">
        <v>174</v>
      </c>
      <c r="F363" s="36">
        <v>1405</v>
      </c>
      <c r="G363" s="99"/>
    </row>
    <row r="364" spans="1:7" ht="25.5" x14ac:dyDescent="0.2">
      <c r="A364" s="99">
        <v>28</v>
      </c>
      <c r="B364" s="104" t="str">
        <f t="shared" si="5"/>
        <v>Fonctions de catégorie supérieure expertise informatiqueTechnicien principal 2° classe</v>
      </c>
      <c r="C364" s="50" t="s">
        <v>193</v>
      </c>
      <c r="D364" s="48">
        <v>2012</v>
      </c>
      <c r="E364" s="48" t="s">
        <v>292</v>
      </c>
      <c r="F364" s="36">
        <v>1405</v>
      </c>
      <c r="G364" s="99"/>
    </row>
    <row r="365" spans="1:7" ht="25.5" x14ac:dyDescent="0.2">
      <c r="A365" s="99">
        <v>28</v>
      </c>
      <c r="B365" s="104" t="str">
        <f t="shared" si="5"/>
        <v>Fonctions de catégorie supérieure expertise informatiqueTechnicien principal 1° classe</v>
      </c>
      <c r="C365" s="50" t="s">
        <v>193</v>
      </c>
      <c r="D365" s="48">
        <v>2014</v>
      </c>
      <c r="E365" s="48" t="s">
        <v>293</v>
      </c>
      <c r="F365" s="36">
        <v>1405</v>
      </c>
      <c r="G365" s="99"/>
    </row>
    <row r="366" spans="1:7" x14ac:dyDescent="0.2">
      <c r="A366" s="105"/>
      <c r="B366" s="106" t="str">
        <f t="shared" si="5"/>
        <v>Non encadrant.eRédacteur</v>
      </c>
      <c r="C366" s="55" t="s">
        <v>154</v>
      </c>
      <c r="D366" s="48" t="s">
        <v>171</v>
      </c>
      <c r="E366" s="45" t="s">
        <v>0</v>
      </c>
      <c r="F366" s="36">
        <v>570</v>
      </c>
      <c r="G366" s="103"/>
    </row>
    <row r="367" spans="1:7" x14ac:dyDescent="0.2">
      <c r="A367" s="105"/>
      <c r="B367" s="106" t="str">
        <f t="shared" si="5"/>
        <v>Non encadrant.eRédacteur principal 2° classe</v>
      </c>
      <c r="C367" s="55" t="s">
        <v>154</v>
      </c>
      <c r="D367" s="48" t="s">
        <v>172</v>
      </c>
      <c r="E367" s="45" t="s">
        <v>290</v>
      </c>
      <c r="F367" s="36">
        <v>570</v>
      </c>
      <c r="G367" s="103"/>
    </row>
    <row r="368" spans="1:7" x14ac:dyDescent="0.2">
      <c r="A368" s="105"/>
      <c r="B368" s="106" t="str">
        <f t="shared" ref="B368:B431" si="6">C368&amp;E368</f>
        <v>Non encadrant.eRédacteur principal 1° classe</v>
      </c>
      <c r="C368" s="55" t="s">
        <v>154</v>
      </c>
      <c r="D368" s="48" t="s">
        <v>173</v>
      </c>
      <c r="E368" s="45" t="s">
        <v>291</v>
      </c>
      <c r="F368" s="36">
        <v>570</v>
      </c>
      <c r="G368" s="103"/>
    </row>
    <row r="369" spans="1:7" x14ac:dyDescent="0.2">
      <c r="A369" s="105"/>
      <c r="B369" s="106" t="str">
        <f t="shared" si="6"/>
        <v>Non encadrant.eTechnicien</v>
      </c>
      <c r="C369" s="55" t="s">
        <v>154</v>
      </c>
      <c r="D369" s="48">
        <v>2010</v>
      </c>
      <c r="E369" s="48" t="s">
        <v>174</v>
      </c>
      <c r="F369" s="36">
        <v>630</v>
      </c>
      <c r="G369" s="103"/>
    </row>
    <row r="370" spans="1:7" x14ac:dyDescent="0.2">
      <c r="A370" s="105"/>
      <c r="B370" s="106" t="str">
        <f t="shared" si="6"/>
        <v>Non encadrant.eTechnicien principal 2° classe</v>
      </c>
      <c r="C370" s="55" t="s">
        <v>154</v>
      </c>
      <c r="D370" s="48">
        <v>2012</v>
      </c>
      <c r="E370" s="48" t="s">
        <v>292</v>
      </c>
      <c r="F370" s="36">
        <v>630</v>
      </c>
      <c r="G370" s="103"/>
    </row>
    <row r="371" spans="1:7" x14ac:dyDescent="0.2">
      <c r="A371" s="105"/>
      <c r="B371" s="106" t="str">
        <f t="shared" si="6"/>
        <v>Non encadrant.eTechnicien principal 1° classe</v>
      </c>
      <c r="C371" s="55" t="s">
        <v>154</v>
      </c>
      <c r="D371" s="48">
        <v>2014</v>
      </c>
      <c r="E371" s="48" t="s">
        <v>293</v>
      </c>
      <c r="F371" s="36">
        <v>630</v>
      </c>
      <c r="G371" s="103"/>
    </row>
    <row r="372" spans="1:7" x14ac:dyDescent="0.2">
      <c r="A372" s="105"/>
      <c r="B372" s="106" t="str">
        <f t="shared" si="6"/>
        <v>Non encadrant.eAssistants conservation</v>
      </c>
      <c r="C372" s="55" t="s">
        <v>154</v>
      </c>
      <c r="D372" s="48" t="s">
        <v>175</v>
      </c>
      <c r="E372" s="45" t="s">
        <v>340</v>
      </c>
      <c r="F372" s="36">
        <v>570</v>
      </c>
      <c r="G372" s="103"/>
    </row>
    <row r="373" spans="1:7" x14ac:dyDescent="0.2">
      <c r="A373" s="105"/>
      <c r="B373" s="106" t="str">
        <f t="shared" si="6"/>
        <v>Non encadrant.eAssistants conservation principal 2° classe</v>
      </c>
      <c r="C373" s="55" t="s">
        <v>154</v>
      </c>
      <c r="D373" s="48" t="s">
        <v>176</v>
      </c>
      <c r="E373" s="45" t="s">
        <v>341</v>
      </c>
      <c r="F373" s="36">
        <v>570</v>
      </c>
      <c r="G373" s="103"/>
    </row>
    <row r="374" spans="1:7" x14ac:dyDescent="0.2">
      <c r="A374" s="105"/>
      <c r="B374" s="106" t="str">
        <f t="shared" si="6"/>
        <v>Non encadrant.eAssistants conservation principal 1° classe</v>
      </c>
      <c r="C374" s="55" t="s">
        <v>154</v>
      </c>
      <c r="D374" s="48" t="s">
        <v>177</v>
      </c>
      <c r="E374" s="45" t="s">
        <v>342</v>
      </c>
      <c r="F374" s="36">
        <v>570</v>
      </c>
      <c r="G374" s="103"/>
    </row>
    <row r="375" spans="1:7" x14ac:dyDescent="0.2">
      <c r="A375" s="105"/>
      <c r="B375" s="106" t="str">
        <f t="shared" si="6"/>
        <v>Non encadrant.eAuxiliaire de puériculture de classe normale</v>
      </c>
      <c r="C375" s="55" t="s">
        <v>154</v>
      </c>
      <c r="D375" s="48">
        <v>5612</v>
      </c>
      <c r="E375" s="45" t="s">
        <v>398</v>
      </c>
      <c r="F375" s="36">
        <v>570</v>
      </c>
      <c r="G375" s="103"/>
    </row>
    <row r="376" spans="1:7" x14ac:dyDescent="0.2">
      <c r="A376" s="105"/>
      <c r="B376" s="106" t="str">
        <f t="shared" si="6"/>
        <v>Non encadrant.eAuxiliaire de puériculture de classe supérieure</v>
      </c>
      <c r="C376" s="55" t="s">
        <v>154</v>
      </c>
      <c r="D376" s="48">
        <v>5614</v>
      </c>
      <c r="E376" s="45" t="s">
        <v>397</v>
      </c>
      <c r="F376" s="36">
        <v>570</v>
      </c>
      <c r="G376" s="103"/>
    </row>
    <row r="377" spans="1:7" x14ac:dyDescent="0.2">
      <c r="A377" s="105"/>
      <c r="B377" s="106" t="str">
        <f t="shared" si="6"/>
        <v>Non encadrant.eAide soignant de classe normale</v>
      </c>
      <c r="C377" s="55" t="s">
        <v>154</v>
      </c>
      <c r="D377" s="48">
        <v>5664</v>
      </c>
      <c r="E377" s="45" t="s">
        <v>396</v>
      </c>
      <c r="F377" s="36">
        <v>570</v>
      </c>
      <c r="G377" s="103"/>
    </row>
    <row r="378" spans="1:7" x14ac:dyDescent="0.2">
      <c r="A378" s="105"/>
      <c r="B378" s="106" t="str">
        <f t="shared" si="6"/>
        <v>Non encadrant.eAide soignant de classe supérieure</v>
      </c>
      <c r="C378" s="55" t="s">
        <v>154</v>
      </c>
      <c r="D378" s="48">
        <v>5662</v>
      </c>
      <c r="E378" s="45" t="s">
        <v>395</v>
      </c>
      <c r="F378" s="36">
        <v>570</v>
      </c>
      <c r="G378" s="103"/>
    </row>
    <row r="379" spans="1:7" x14ac:dyDescent="0.2">
      <c r="A379" s="105"/>
      <c r="B379" s="106" t="str">
        <f t="shared" si="6"/>
        <v>Non encadrant.eEducateur APS</v>
      </c>
      <c r="C379" s="55" t="s">
        <v>154</v>
      </c>
      <c r="D379" s="48" t="s">
        <v>178</v>
      </c>
      <c r="E379" s="48" t="s">
        <v>179</v>
      </c>
      <c r="F379" s="36">
        <v>570</v>
      </c>
      <c r="G379" s="103"/>
    </row>
    <row r="380" spans="1:7" x14ac:dyDescent="0.2">
      <c r="A380" s="105"/>
      <c r="B380" s="106" t="str">
        <f t="shared" si="6"/>
        <v>Non encadrant.eEducateur APS principal 2° classe</v>
      </c>
      <c r="C380" s="55" t="s">
        <v>154</v>
      </c>
      <c r="D380" s="48" t="s">
        <v>180</v>
      </c>
      <c r="E380" s="45" t="s">
        <v>320</v>
      </c>
      <c r="F380" s="36">
        <v>570</v>
      </c>
      <c r="G380" s="103"/>
    </row>
    <row r="381" spans="1:7" x14ac:dyDescent="0.2">
      <c r="A381" s="105"/>
      <c r="B381" s="106" t="str">
        <f t="shared" si="6"/>
        <v>Non encadrant.eEducateur APS principal 1° classe</v>
      </c>
      <c r="C381" s="55" t="s">
        <v>154</v>
      </c>
      <c r="D381" s="48" t="s">
        <v>181</v>
      </c>
      <c r="E381" s="45" t="s">
        <v>321</v>
      </c>
      <c r="F381" s="36">
        <v>570</v>
      </c>
      <c r="G381" s="103"/>
    </row>
    <row r="382" spans="1:7" x14ac:dyDescent="0.2">
      <c r="A382" s="105"/>
      <c r="B382" s="106" t="str">
        <f t="shared" si="6"/>
        <v>Non encadrant.eAnimateur</v>
      </c>
      <c r="C382" s="55" t="s">
        <v>154</v>
      </c>
      <c r="D382" s="48" t="s">
        <v>182</v>
      </c>
      <c r="E382" s="48" t="s">
        <v>183</v>
      </c>
      <c r="F382" s="36">
        <v>570</v>
      </c>
      <c r="G382" s="103"/>
    </row>
    <row r="383" spans="1:7" x14ac:dyDescent="0.2">
      <c r="A383" s="105"/>
      <c r="B383" s="106" t="str">
        <f t="shared" si="6"/>
        <v>Non encadrant.eAnimateur principal 2° classe</v>
      </c>
      <c r="C383" s="55" t="s">
        <v>154</v>
      </c>
      <c r="D383" s="48" t="s">
        <v>184</v>
      </c>
      <c r="E383" s="45" t="s">
        <v>309</v>
      </c>
      <c r="F383" s="36">
        <v>570</v>
      </c>
      <c r="G383" s="103"/>
    </row>
    <row r="384" spans="1:7" x14ac:dyDescent="0.2">
      <c r="A384" s="105"/>
      <c r="B384" s="106" t="str">
        <f t="shared" si="6"/>
        <v>Non encadrant.eAnimateur principal 1° classe</v>
      </c>
      <c r="C384" s="55" t="s">
        <v>154</v>
      </c>
      <c r="D384" s="48" t="s">
        <v>185</v>
      </c>
      <c r="E384" s="45" t="s">
        <v>310</v>
      </c>
      <c r="F384" s="36">
        <v>570</v>
      </c>
      <c r="G384" s="103"/>
    </row>
    <row r="385" spans="1:7" x14ac:dyDescent="0.2">
      <c r="A385" s="105">
        <v>31</v>
      </c>
      <c r="B385" s="106" t="str">
        <f t="shared" si="6"/>
        <v>Non encadrant.e direction ou coordinationTechnicien</v>
      </c>
      <c r="C385" s="55" t="s">
        <v>194</v>
      </c>
      <c r="D385" s="48">
        <v>2010</v>
      </c>
      <c r="E385" s="48" t="s">
        <v>174</v>
      </c>
      <c r="F385" s="36">
        <v>730</v>
      </c>
      <c r="G385" s="103"/>
    </row>
    <row r="386" spans="1:7" x14ac:dyDescent="0.2">
      <c r="A386" s="105">
        <v>31</v>
      </c>
      <c r="B386" s="106" t="str">
        <f t="shared" si="6"/>
        <v>Non encadrant.e direction ou coordinationTechnicien principal 2° classe</v>
      </c>
      <c r="C386" s="55" t="s">
        <v>194</v>
      </c>
      <c r="D386" s="48">
        <v>2012</v>
      </c>
      <c r="E386" s="48" t="s">
        <v>292</v>
      </c>
      <c r="F386" s="36">
        <v>730</v>
      </c>
      <c r="G386" s="103"/>
    </row>
    <row r="387" spans="1:7" x14ac:dyDescent="0.2">
      <c r="A387" s="105">
        <v>31</v>
      </c>
      <c r="B387" s="106" t="str">
        <f t="shared" si="6"/>
        <v>Non encadrant.e direction ou coordinationTechnicien principal 1° classe</v>
      </c>
      <c r="C387" s="55" t="s">
        <v>194</v>
      </c>
      <c r="D387" s="48">
        <v>2014</v>
      </c>
      <c r="E387" s="48" t="s">
        <v>293</v>
      </c>
      <c r="F387" s="36">
        <v>730</v>
      </c>
      <c r="G387" s="103"/>
    </row>
    <row r="388" spans="1:7" x14ac:dyDescent="0.2">
      <c r="A388" s="105">
        <v>83</v>
      </c>
      <c r="B388" s="106" t="str">
        <f t="shared" si="6"/>
        <v>Technicien réseau DSITechnicien</v>
      </c>
      <c r="C388" s="55" t="s">
        <v>195</v>
      </c>
      <c r="D388" s="48">
        <v>2010</v>
      </c>
      <c r="E388" s="48" t="s">
        <v>174</v>
      </c>
      <c r="F388" s="36">
        <v>1155</v>
      </c>
      <c r="G388" s="159" t="s">
        <v>196</v>
      </c>
    </row>
    <row r="389" spans="1:7" x14ac:dyDescent="0.2">
      <c r="A389" s="105">
        <v>83</v>
      </c>
      <c r="B389" s="106" t="str">
        <f t="shared" si="6"/>
        <v>Technicien réseau DSITechnicien principal 2° classe</v>
      </c>
      <c r="C389" s="55" t="s">
        <v>195</v>
      </c>
      <c r="D389" s="48">
        <v>2012</v>
      </c>
      <c r="E389" s="48" t="s">
        <v>292</v>
      </c>
      <c r="F389" s="36">
        <v>1155</v>
      </c>
      <c r="G389" s="159"/>
    </row>
    <row r="390" spans="1:7" x14ac:dyDescent="0.2">
      <c r="A390" s="105">
        <v>83</v>
      </c>
      <c r="B390" s="106" t="str">
        <f t="shared" si="6"/>
        <v>Technicien réseau DSITechnicien principal 1° classe</v>
      </c>
      <c r="C390" s="55" t="s">
        <v>195</v>
      </c>
      <c r="D390" s="48">
        <v>2014</v>
      </c>
      <c r="E390" s="48" t="s">
        <v>293</v>
      </c>
      <c r="F390" s="36">
        <v>1155</v>
      </c>
      <c r="G390" s="159"/>
    </row>
    <row r="391" spans="1:7" x14ac:dyDescent="0.2">
      <c r="A391" s="105">
        <v>21</v>
      </c>
      <c r="B391" s="106" t="str">
        <f t="shared" si="6"/>
        <v>Expertise informatiqueRédacteur</v>
      </c>
      <c r="C391" s="55" t="s">
        <v>167</v>
      </c>
      <c r="D391" s="48" t="s">
        <v>171</v>
      </c>
      <c r="E391" s="45" t="s">
        <v>0</v>
      </c>
      <c r="F391" s="36">
        <v>920</v>
      </c>
      <c r="G391" s="103"/>
    </row>
    <row r="392" spans="1:7" x14ac:dyDescent="0.2">
      <c r="A392" s="105">
        <v>21</v>
      </c>
      <c r="B392" s="106" t="str">
        <f t="shared" si="6"/>
        <v>Expertise informatiqueRédacteur principal 2° classe</v>
      </c>
      <c r="C392" s="55" t="s">
        <v>167</v>
      </c>
      <c r="D392" s="48" t="s">
        <v>172</v>
      </c>
      <c r="E392" s="45" t="s">
        <v>290</v>
      </c>
      <c r="F392" s="36">
        <v>920</v>
      </c>
      <c r="G392" s="103"/>
    </row>
    <row r="393" spans="1:7" x14ac:dyDescent="0.2">
      <c r="A393" s="105">
        <v>21</v>
      </c>
      <c r="B393" s="106" t="str">
        <f t="shared" si="6"/>
        <v>Expertise informatiqueRédacteur principal 1° classe</v>
      </c>
      <c r="C393" s="55" t="s">
        <v>167</v>
      </c>
      <c r="D393" s="48" t="s">
        <v>173</v>
      </c>
      <c r="E393" s="45" t="s">
        <v>291</v>
      </c>
      <c r="F393" s="36">
        <v>920</v>
      </c>
      <c r="G393" s="103"/>
    </row>
    <row r="394" spans="1:7" x14ac:dyDescent="0.2">
      <c r="A394" s="105">
        <v>21</v>
      </c>
      <c r="B394" s="106" t="str">
        <f t="shared" si="6"/>
        <v>Expertise informatiqueTechnicien</v>
      </c>
      <c r="C394" s="55" t="s">
        <v>167</v>
      </c>
      <c r="D394" s="48">
        <v>2010</v>
      </c>
      <c r="E394" s="48" t="s">
        <v>174</v>
      </c>
      <c r="F394" s="36">
        <v>980</v>
      </c>
      <c r="G394" s="103"/>
    </row>
    <row r="395" spans="1:7" x14ac:dyDescent="0.2">
      <c r="A395" s="105">
        <v>21</v>
      </c>
      <c r="B395" s="106" t="str">
        <f t="shared" si="6"/>
        <v>Expertise informatiqueTechnicien principal 2° classe</v>
      </c>
      <c r="C395" s="55" t="s">
        <v>167</v>
      </c>
      <c r="D395" s="48">
        <v>2012</v>
      </c>
      <c r="E395" s="48" t="s">
        <v>292</v>
      </c>
      <c r="F395" s="36">
        <v>980</v>
      </c>
      <c r="G395" s="103"/>
    </row>
    <row r="396" spans="1:7" x14ac:dyDescent="0.2">
      <c r="A396" s="105">
        <v>21</v>
      </c>
      <c r="B396" s="106" t="str">
        <f t="shared" si="6"/>
        <v>Expertise informatiqueTechnicien principal 1° classe</v>
      </c>
      <c r="C396" s="55" t="s">
        <v>167</v>
      </c>
      <c r="D396" s="48">
        <v>2014</v>
      </c>
      <c r="E396" s="48" t="s">
        <v>293</v>
      </c>
      <c r="F396" s="36">
        <v>980</v>
      </c>
      <c r="G396" s="103"/>
    </row>
    <row r="397" spans="1:7" x14ac:dyDescent="0.2">
      <c r="A397" s="105" t="s">
        <v>197</v>
      </c>
      <c r="B397" s="106" t="str">
        <f t="shared" si="6"/>
        <v>Non encadrant direct ou coord exp infoTechnicien</v>
      </c>
      <c r="C397" s="55" t="s">
        <v>198</v>
      </c>
      <c r="D397" s="48">
        <v>2010</v>
      </c>
      <c r="E397" s="48" t="s">
        <v>174</v>
      </c>
      <c r="F397" s="36">
        <v>1080</v>
      </c>
      <c r="G397" s="103"/>
    </row>
    <row r="398" spans="1:7" x14ac:dyDescent="0.2">
      <c r="A398" s="105" t="s">
        <v>197</v>
      </c>
      <c r="B398" s="106" t="str">
        <f t="shared" si="6"/>
        <v>Non encadrant direct ou coord exp infoTechnicien principal 2° classe</v>
      </c>
      <c r="C398" s="55" t="s">
        <v>198</v>
      </c>
      <c r="D398" s="48">
        <v>2012</v>
      </c>
      <c r="E398" s="48" t="s">
        <v>292</v>
      </c>
      <c r="F398" s="36">
        <v>1080</v>
      </c>
      <c r="G398" s="103"/>
    </row>
    <row r="399" spans="1:7" x14ac:dyDescent="0.2">
      <c r="A399" s="105" t="s">
        <v>197</v>
      </c>
      <c r="B399" s="106" t="str">
        <f t="shared" si="6"/>
        <v>Non encadrant direct ou coord exp infoTechnicien principal 1° classe</v>
      </c>
      <c r="C399" s="55" t="s">
        <v>198</v>
      </c>
      <c r="D399" s="48">
        <v>2014</v>
      </c>
      <c r="E399" s="48" t="s">
        <v>293</v>
      </c>
      <c r="F399" s="36">
        <v>1080</v>
      </c>
      <c r="G399" s="103"/>
    </row>
    <row r="400" spans="1:7" x14ac:dyDescent="0.2">
      <c r="A400" s="49">
        <v>24</v>
      </c>
      <c r="B400" s="48" t="str">
        <f t="shared" si="6"/>
        <v>Sujétions niveau 2Aide soignant de classe normale</v>
      </c>
      <c r="C400" s="55" t="s">
        <v>169</v>
      </c>
      <c r="D400" s="45">
        <v>5664</v>
      </c>
      <c r="E400" s="45" t="s">
        <v>396</v>
      </c>
      <c r="F400" s="36">
        <v>585</v>
      </c>
      <c r="G400" s="159" t="s">
        <v>199</v>
      </c>
    </row>
    <row r="401" spans="1:7" x14ac:dyDescent="0.2">
      <c r="A401" s="49">
        <v>24</v>
      </c>
      <c r="B401" s="48" t="str">
        <f t="shared" si="6"/>
        <v>Sujétions niveau 2Aide soignant de classe supérieure</v>
      </c>
      <c r="C401" s="55" t="s">
        <v>169</v>
      </c>
      <c r="D401" s="45">
        <v>5662</v>
      </c>
      <c r="E401" s="45" t="s">
        <v>395</v>
      </c>
      <c r="F401" s="36">
        <v>585</v>
      </c>
      <c r="G401" s="159"/>
    </row>
    <row r="402" spans="1:7" x14ac:dyDescent="0.2">
      <c r="A402" s="49" t="s">
        <v>133</v>
      </c>
      <c r="B402" s="48" t="str">
        <f t="shared" si="6"/>
        <v>Responsable de secteurAdjoint administratif</v>
      </c>
      <c r="C402" s="50" t="s">
        <v>134</v>
      </c>
      <c r="D402" s="48" t="s">
        <v>200</v>
      </c>
      <c r="E402" s="45" t="s">
        <v>283</v>
      </c>
      <c r="F402" s="36">
        <v>427</v>
      </c>
      <c r="G402" s="103"/>
    </row>
    <row r="403" spans="1:7" x14ac:dyDescent="0.2">
      <c r="A403" s="49" t="s">
        <v>133</v>
      </c>
      <c r="B403" s="48" t="str">
        <f t="shared" si="6"/>
        <v xml:space="preserve">Responsable de secteurAdjoint administratif Principal 2° classe </v>
      </c>
      <c r="C403" s="50" t="s">
        <v>134</v>
      </c>
      <c r="D403" s="48" t="s">
        <v>201</v>
      </c>
      <c r="E403" s="45" t="s">
        <v>286</v>
      </c>
      <c r="F403" s="36">
        <v>461</v>
      </c>
      <c r="G403" s="103"/>
    </row>
    <row r="404" spans="1:7" x14ac:dyDescent="0.2">
      <c r="A404" s="49" t="s">
        <v>133</v>
      </c>
      <c r="B404" s="48" t="str">
        <f t="shared" si="6"/>
        <v xml:space="preserve">Responsable de secteurAdjoint administratif Principal 1° classe </v>
      </c>
      <c r="C404" s="50" t="s">
        <v>134</v>
      </c>
      <c r="D404" s="48" t="s">
        <v>202</v>
      </c>
      <c r="E404" s="45" t="s">
        <v>285</v>
      </c>
      <c r="F404" s="36">
        <v>464</v>
      </c>
      <c r="G404" s="103"/>
    </row>
    <row r="405" spans="1:7" x14ac:dyDescent="0.2">
      <c r="A405" s="49" t="s">
        <v>133</v>
      </c>
      <c r="B405" s="48" t="str">
        <f t="shared" si="6"/>
        <v>Responsable de secteurAdjoint patrimoine</v>
      </c>
      <c r="C405" s="50" t="s">
        <v>134</v>
      </c>
      <c r="D405" s="48" t="s">
        <v>203</v>
      </c>
      <c r="E405" s="45" t="s">
        <v>343</v>
      </c>
      <c r="F405" s="36">
        <v>427</v>
      </c>
      <c r="G405" s="103"/>
    </row>
    <row r="406" spans="1:7" x14ac:dyDescent="0.2">
      <c r="A406" s="49" t="s">
        <v>133</v>
      </c>
      <c r="B406" s="48" t="str">
        <f t="shared" si="6"/>
        <v xml:space="preserve">Responsable de secteurAdjoint patrimoine principal 2° classe </v>
      </c>
      <c r="C406" s="50" t="s">
        <v>134</v>
      </c>
      <c r="D406" s="48" t="s">
        <v>204</v>
      </c>
      <c r="E406" s="45" t="s">
        <v>344</v>
      </c>
      <c r="F406" s="36">
        <v>461</v>
      </c>
      <c r="G406" s="103"/>
    </row>
    <row r="407" spans="1:7" x14ac:dyDescent="0.2">
      <c r="A407" s="49" t="s">
        <v>133</v>
      </c>
      <c r="B407" s="48" t="str">
        <f t="shared" si="6"/>
        <v xml:space="preserve">Responsable de secteurAdjoint patrimoine principal 1° classe </v>
      </c>
      <c r="C407" s="50" t="s">
        <v>134</v>
      </c>
      <c r="D407" s="48" t="s">
        <v>205</v>
      </c>
      <c r="E407" s="45" t="s">
        <v>345</v>
      </c>
      <c r="F407" s="36">
        <v>464</v>
      </c>
      <c r="G407" s="103"/>
    </row>
    <row r="408" spans="1:7" x14ac:dyDescent="0.2">
      <c r="A408" s="49" t="s">
        <v>133</v>
      </c>
      <c r="B408" s="48" t="str">
        <f t="shared" si="6"/>
        <v>Responsable de secteurOpérateur APS</v>
      </c>
      <c r="C408" s="50" t="s">
        <v>134</v>
      </c>
      <c r="D408" s="48" t="s">
        <v>206</v>
      </c>
      <c r="E408" s="45" t="s">
        <v>322</v>
      </c>
      <c r="F408" s="36">
        <v>427</v>
      </c>
      <c r="G408" s="103"/>
    </row>
    <row r="409" spans="1:7" x14ac:dyDescent="0.2">
      <c r="A409" s="49" t="s">
        <v>133</v>
      </c>
      <c r="B409" s="48" t="str">
        <f t="shared" si="6"/>
        <v>Responsable de secteurOpérateur APS qualifié</v>
      </c>
      <c r="C409" s="50" t="s">
        <v>134</v>
      </c>
      <c r="D409" s="48" t="s">
        <v>207</v>
      </c>
      <c r="E409" s="45" t="s">
        <v>323</v>
      </c>
      <c r="F409" s="36">
        <v>461</v>
      </c>
      <c r="G409" s="103"/>
    </row>
    <row r="410" spans="1:7" x14ac:dyDescent="0.2">
      <c r="A410" s="49" t="s">
        <v>133</v>
      </c>
      <c r="B410" s="48" t="str">
        <f t="shared" si="6"/>
        <v>Responsable de secteurOpérateur APS principal</v>
      </c>
      <c r="C410" s="50" t="s">
        <v>134</v>
      </c>
      <c r="D410" s="48" t="s">
        <v>208</v>
      </c>
      <c r="E410" s="45" t="s">
        <v>324</v>
      </c>
      <c r="F410" s="36">
        <v>464</v>
      </c>
      <c r="G410" s="103"/>
    </row>
    <row r="411" spans="1:7" x14ac:dyDescent="0.2">
      <c r="A411" s="49" t="s">
        <v>133</v>
      </c>
      <c r="B411" s="48" t="e">
        <f>C411&amp;#REF!</f>
        <v>#REF!</v>
      </c>
      <c r="C411" s="50" t="s">
        <v>134</v>
      </c>
      <c r="D411" s="48" t="s">
        <v>209</v>
      </c>
      <c r="E411" t="s">
        <v>404</v>
      </c>
      <c r="F411" s="36">
        <v>461</v>
      </c>
      <c r="G411" s="103"/>
    </row>
    <row r="412" spans="1:7" x14ac:dyDescent="0.2">
      <c r="A412" s="49" t="s">
        <v>133</v>
      </c>
      <c r="B412" s="48" t="e">
        <f>C412&amp;#REF!</f>
        <v>#REF!</v>
      </c>
      <c r="C412" s="50" t="s">
        <v>134</v>
      </c>
      <c r="D412" s="48" t="s">
        <v>210</v>
      </c>
      <c r="E412" t="s">
        <v>405</v>
      </c>
      <c r="F412" s="36">
        <v>464</v>
      </c>
      <c r="G412" s="103"/>
    </row>
    <row r="413" spans="1:7" x14ac:dyDescent="0.2">
      <c r="A413" s="49" t="s">
        <v>133</v>
      </c>
      <c r="B413" s="48" t="str">
        <f t="shared" si="6"/>
        <v>Responsable de secteurAgent social</v>
      </c>
      <c r="C413" s="50" t="s">
        <v>134</v>
      </c>
      <c r="D413" s="48" t="s">
        <v>211</v>
      </c>
      <c r="E413" s="45" t="s">
        <v>401</v>
      </c>
      <c r="F413" s="36">
        <v>427</v>
      </c>
      <c r="G413" s="103"/>
    </row>
    <row r="414" spans="1:7" x14ac:dyDescent="0.2">
      <c r="A414" s="49" t="s">
        <v>133</v>
      </c>
      <c r="B414" s="48" t="str">
        <f t="shared" si="6"/>
        <v>Responsable de secteurAgent social principal 2° classe</v>
      </c>
      <c r="C414" s="50" t="s">
        <v>134</v>
      </c>
      <c r="D414" s="48" t="s">
        <v>212</v>
      </c>
      <c r="E414" s="45" t="s">
        <v>402</v>
      </c>
      <c r="F414" s="36">
        <v>461</v>
      </c>
      <c r="G414" s="103"/>
    </row>
    <row r="415" spans="1:7" x14ac:dyDescent="0.2">
      <c r="A415" s="49" t="s">
        <v>133</v>
      </c>
      <c r="B415" s="48" t="e">
        <f>C415&amp;#REF!</f>
        <v>#REF!</v>
      </c>
      <c r="C415" s="50" t="s">
        <v>134</v>
      </c>
      <c r="D415" s="48" t="s">
        <v>213</v>
      </c>
      <c r="E415" t="s">
        <v>403</v>
      </c>
      <c r="F415" s="36">
        <v>464</v>
      </c>
      <c r="G415" s="103"/>
    </row>
    <row r="416" spans="1:7" x14ac:dyDescent="0.2">
      <c r="A416" s="49" t="s">
        <v>133</v>
      </c>
      <c r="B416" s="48" t="str">
        <f t="shared" si="6"/>
        <v>Responsable de secteurAdjoint animation</v>
      </c>
      <c r="C416" s="50" t="s">
        <v>134</v>
      </c>
      <c r="D416" s="48" t="s">
        <v>214</v>
      </c>
      <c r="E416" s="45" t="s">
        <v>311</v>
      </c>
      <c r="F416" s="36">
        <v>427</v>
      </c>
      <c r="G416" s="103"/>
    </row>
    <row r="417" spans="1:7" x14ac:dyDescent="0.2">
      <c r="A417" s="49" t="s">
        <v>133</v>
      </c>
      <c r="B417" s="48" t="str">
        <f t="shared" si="6"/>
        <v xml:space="preserve">Responsable de secteurAdjoint animation principal 2° classe </v>
      </c>
      <c r="C417" s="50" t="s">
        <v>134</v>
      </c>
      <c r="D417" s="48" t="s">
        <v>215</v>
      </c>
      <c r="E417" s="45" t="s">
        <v>312</v>
      </c>
      <c r="F417" s="36">
        <v>461</v>
      </c>
      <c r="G417" s="103"/>
    </row>
    <row r="418" spans="1:7" x14ac:dyDescent="0.2">
      <c r="A418" s="49" t="s">
        <v>133</v>
      </c>
      <c r="B418" s="48" t="str">
        <f t="shared" si="6"/>
        <v xml:space="preserve">Responsable de secteurAdjoint animation principal 1° classe </v>
      </c>
      <c r="C418" s="50" t="s">
        <v>134</v>
      </c>
      <c r="D418" s="48" t="s">
        <v>216</v>
      </c>
      <c r="E418" s="45" t="s">
        <v>313</v>
      </c>
      <c r="F418" s="36">
        <v>464</v>
      </c>
      <c r="G418" s="103"/>
    </row>
    <row r="419" spans="1:7" x14ac:dyDescent="0.2">
      <c r="A419" s="49" t="s">
        <v>133</v>
      </c>
      <c r="B419" s="48" t="str">
        <f t="shared" si="6"/>
        <v>Responsable de secteurAgents de maîtrise</v>
      </c>
      <c r="C419" s="50" t="s">
        <v>134</v>
      </c>
      <c r="D419" s="48" t="s">
        <v>217</v>
      </c>
      <c r="E419" s="45" t="s">
        <v>348</v>
      </c>
      <c r="F419" s="36">
        <v>440</v>
      </c>
      <c r="G419" s="103"/>
    </row>
    <row r="420" spans="1:7" x14ac:dyDescent="0.2">
      <c r="A420" s="49" t="s">
        <v>133</v>
      </c>
      <c r="B420" s="48" t="str">
        <f t="shared" si="6"/>
        <v>Responsable de secteurAgents de maîtrise principal</v>
      </c>
      <c r="C420" s="50" t="s">
        <v>134</v>
      </c>
      <c r="D420" s="48" t="s">
        <v>218</v>
      </c>
      <c r="E420" s="45" t="s">
        <v>349</v>
      </c>
      <c r="F420" s="36">
        <v>450</v>
      </c>
      <c r="G420" s="103"/>
    </row>
    <row r="421" spans="1:7" x14ac:dyDescent="0.2">
      <c r="A421" s="49" t="s">
        <v>133</v>
      </c>
      <c r="B421" s="48" t="str">
        <f t="shared" si="6"/>
        <v>Responsable de secteurAdjoint technique</v>
      </c>
      <c r="C421" s="50" t="s">
        <v>134</v>
      </c>
      <c r="D421" s="48" t="s">
        <v>219</v>
      </c>
      <c r="E421" s="45" t="s">
        <v>287</v>
      </c>
      <c r="F421" s="36">
        <v>426</v>
      </c>
      <c r="G421" s="103"/>
    </row>
    <row r="422" spans="1:7" x14ac:dyDescent="0.2">
      <c r="A422" s="49" t="s">
        <v>133</v>
      </c>
      <c r="B422" s="48" t="str">
        <f t="shared" si="6"/>
        <v xml:space="preserve">Responsable de secteurAdjoint technique principal 2° classe </v>
      </c>
      <c r="C422" s="50" t="s">
        <v>134</v>
      </c>
      <c r="D422" s="48" t="s">
        <v>220</v>
      </c>
      <c r="E422" s="45" t="s">
        <v>288</v>
      </c>
      <c r="F422" s="36">
        <v>440</v>
      </c>
      <c r="G422" s="103"/>
    </row>
    <row r="423" spans="1:7" x14ac:dyDescent="0.2">
      <c r="A423" s="49" t="s">
        <v>133</v>
      </c>
      <c r="B423" s="48" t="str">
        <f t="shared" si="6"/>
        <v xml:space="preserve">Responsable de secteurAdjoint technique principal 1° classe </v>
      </c>
      <c r="C423" s="50" t="s">
        <v>134</v>
      </c>
      <c r="D423" s="48" t="s">
        <v>221</v>
      </c>
      <c r="E423" s="45" t="s">
        <v>289</v>
      </c>
      <c r="F423" s="36">
        <v>450</v>
      </c>
      <c r="G423" s="103"/>
    </row>
    <row r="424" spans="1:7" x14ac:dyDescent="0.2">
      <c r="A424" s="49" t="s">
        <v>146</v>
      </c>
      <c r="B424" s="48" t="str">
        <f t="shared" si="6"/>
        <v>Responsable d'unitéAdjoint administratif</v>
      </c>
      <c r="C424" s="50" t="s">
        <v>147</v>
      </c>
      <c r="D424" s="48" t="s">
        <v>200</v>
      </c>
      <c r="E424" s="45" t="s">
        <v>283</v>
      </c>
      <c r="F424" s="36">
        <v>407</v>
      </c>
      <c r="G424" s="103"/>
    </row>
    <row r="425" spans="1:7" x14ac:dyDescent="0.2">
      <c r="A425" s="49" t="s">
        <v>146</v>
      </c>
      <c r="B425" s="48" t="str">
        <f t="shared" si="6"/>
        <v xml:space="preserve">Responsable d'unitéAdjoint administratif Principal 2° classe </v>
      </c>
      <c r="C425" s="50" t="s">
        <v>147</v>
      </c>
      <c r="D425" s="48" t="s">
        <v>201</v>
      </c>
      <c r="E425" s="45" t="s">
        <v>286</v>
      </c>
      <c r="F425" s="36">
        <v>441</v>
      </c>
      <c r="G425" s="103"/>
    </row>
    <row r="426" spans="1:7" x14ac:dyDescent="0.2">
      <c r="A426" s="49" t="s">
        <v>146</v>
      </c>
      <c r="B426" s="48" t="str">
        <f t="shared" si="6"/>
        <v xml:space="preserve">Responsable d'unitéAdjoint administratif Principal 1° classe </v>
      </c>
      <c r="C426" s="50" t="s">
        <v>147</v>
      </c>
      <c r="D426" s="48" t="s">
        <v>202</v>
      </c>
      <c r="E426" s="45" t="s">
        <v>285</v>
      </c>
      <c r="F426" s="36">
        <v>444</v>
      </c>
      <c r="G426" s="103"/>
    </row>
    <row r="427" spans="1:7" x14ac:dyDescent="0.2">
      <c r="A427" s="49" t="s">
        <v>146</v>
      </c>
      <c r="B427" s="48" t="str">
        <f t="shared" si="6"/>
        <v>Responsable d'unitéAdjoint patrimoine</v>
      </c>
      <c r="C427" s="50" t="s">
        <v>147</v>
      </c>
      <c r="D427" s="48" t="s">
        <v>203</v>
      </c>
      <c r="E427" s="45" t="s">
        <v>343</v>
      </c>
      <c r="F427" s="36">
        <v>407</v>
      </c>
      <c r="G427" s="103"/>
    </row>
    <row r="428" spans="1:7" x14ac:dyDescent="0.2">
      <c r="A428" s="49" t="s">
        <v>146</v>
      </c>
      <c r="B428" s="48" t="str">
        <f t="shared" si="6"/>
        <v xml:space="preserve">Responsable d'unitéAdjoint patrimoine principal 2° classe </v>
      </c>
      <c r="C428" s="50" t="s">
        <v>147</v>
      </c>
      <c r="D428" s="48" t="s">
        <v>204</v>
      </c>
      <c r="E428" s="45" t="s">
        <v>344</v>
      </c>
      <c r="F428" s="36">
        <v>441</v>
      </c>
      <c r="G428" s="103"/>
    </row>
    <row r="429" spans="1:7" x14ac:dyDescent="0.2">
      <c r="A429" s="49" t="s">
        <v>146</v>
      </c>
      <c r="B429" s="48" t="str">
        <f t="shared" si="6"/>
        <v xml:space="preserve">Responsable d'unitéAdjoint patrimoine principal 1° classe </v>
      </c>
      <c r="C429" s="50" t="s">
        <v>147</v>
      </c>
      <c r="D429" s="48" t="s">
        <v>205</v>
      </c>
      <c r="E429" s="45" t="s">
        <v>345</v>
      </c>
      <c r="F429" s="36">
        <v>444</v>
      </c>
      <c r="G429" s="103"/>
    </row>
    <row r="430" spans="1:7" x14ac:dyDescent="0.2">
      <c r="A430" s="49" t="s">
        <v>146</v>
      </c>
      <c r="B430" s="48" t="str">
        <f t="shared" si="6"/>
        <v>Responsable d'unitéOpérateur APS</v>
      </c>
      <c r="C430" s="50" t="s">
        <v>147</v>
      </c>
      <c r="D430" s="48" t="s">
        <v>206</v>
      </c>
      <c r="E430" s="45" t="s">
        <v>322</v>
      </c>
      <c r="F430" s="36">
        <v>407</v>
      </c>
      <c r="G430" s="103"/>
    </row>
    <row r="431" spans="1:7" x14ac:dyDescent="0.2">
      <c r="A431" s="49" t="s">
        <v>146</v>
      </c>
      <c r="B431" s="48" t="str">
        <f t="shared" si="6"/>
        <v>Responsable d'unitéOpérateur APS qualifié</v>
      </c>
      <c r="C431" s="50" t="s">
        <v>147</v>
      </c>
      <c r="D431" s="48" t="s">
        <v>207</v>
      </c>
      <c r="E431" s="45" t="s">
        <v>323</v>
      </c>
      <c r="F431" s="36">
        <v>441</v>
      </c>
      <c r="G431" s="103"/>
    </row>
    <row r="432" spans="1:7" x14ac:dyDescent="0.2">
      <c r="A432" s="49" t="s">
        <v>146</v>
      </c>
      <c r="B432" s="48" t="str">
        <f t="shared" ref="B432:B495" si="7">C432&amp;E432</f>
        <v>Responsable d'unitéOpérateur APS principal</v>
      </c>
      <c r="C432" s="50" t="s">
        <v>147</v>
      </c>
      <c r="D432" s="48" t="s">
        <v>208</v>
      </c>
      <c r="E432" s="45" t="s">
        <v>324</v>
      </c>
      <c r="F432" s="36">
        <v>444</v>
      </c>
      <c r="G432" s="103"/>
    </row>
    <row r="433" spans="1:7" x14ac:dyDescent="0.2">
      <c r="A433" s="49" t="s">
        <v>146</v>
      </c>
      <c r="B433" s="48" t="str">
        <f t="shared" si="7"/>
        <v>Responsable d'unitéATSEM principal 2° classe</v>
      </c>
      <c r="C433" s="50" t="s">
        <v>147</v>
      </c>
      <c r="D433" s="48" t="s">
        <v>209</v>
      </c>
      <c r="E433" t="s">
        <v>404</v>
      </c>
      <c r="F433" s="36">
        <v>441</v>
      </c>
      <c r="G433" s="103"/>
    </row>
    <row r="434" spans="1:7" x14ac:dyDescent="0.2">
      <c r="A434" s="49" t="s">
        <v>146</v>
      </c>
      <c r="B434" s="48" t="str">
        <f t="shared" si="7"/>
        <v>Responsable d'unitéATSEM principal 1° classe</v>
      </c>
      <c r="C434" s="50" t="s">
        <v>147</v>
      </c>
      <c r="D434" s="48" t="s">
        <v>210</v>
      </c>
      <c r="E434" t="s">
        <v>405</v>
      </c>
      <c r="F434" s="36">
        <v>444</v>
      </c>
      <c r="G434" s="103"/>
    </row>
    <row r="435" spans="1:7" x14ac:dyDescent="0.2">
      <c r="A435" s="49" t="s">
        <v>146</v>
      </c>
      <c r="B435" s="48" t="str">
        <f t="shared" si="7"/>
        <v>Responsable d'unitéAgent social</v>
      </c>
      <c r="C435" s="50" t="s">
        <v>147</v>
      </c>
      <c r="D435" s="48" t="s">
        <v>211</v>
      </c>
      <c r="E435" s="45" t="s">
        <v>401</v>
      </c>
      <c r="F435" s="36">
        <v>407</v>
      </c>
      <c r="G435" s="103"/>
    </row>
    <row r="436" spans="1:7" x14ac:dyDescent="0.2">
      <c r="A436" s="49" t="s">
        <v>146</v>
      </c>
      <c r="B436" s="48" t="str">
        <f t="shared" si="7"/>
        <v>Responsable d'unitéAgent social principal 2° classe</v>
      </c>
      <c r="C436" s="50" t="s">
        <v>147</v>
      </c>
      <c r="D436" s="48" t="s">
        <v>212</v>
      </c>
      <c r="E436" s="45" t="s">
        <v>402</v>
      </c>
      <c r="F436" s="36">
        <v>441</v>
      </c>
      <c r="G436" s="103"/>
    </row>
    <row r="437" spans="1:7" x14ac:dyDescent="0.2">
      <c r="A437" s="49" t="s">
        <v>146</v>
      </c>
      <c r="B437" s="48" t="str">
        <f t="shared" si="7"/>
        <v>Responsable d'unitéAgent social principal 1° classe</v>
      </c>
      <c r="C437" s="50" t="s">
        <v>147</v>
      </c>
      <c r="D437" s="48" t="s">
        <v>213</v>
      </c>
      <c r="E437" t="s">
        <v>403</v>
      </c>
      <c r="F437" s="36">
        <v>444</v>
      </c>
      <c r="G437" s="103"/>
    </row>
    <row r="438" spans="1:7" x14ac:dyDescent="0.2">
      <c r="A438" s="49" t="s">
        <v>146</v>
      </c>
      <c r="B438" s="48" t="str">
        <f t="shared" si="7"/>
        <v>Responsable d'unitéAdjoint animation</v>
      </c>
      <c r="C438" s="50" t="s">
        <v>147</v>
      </c>
      <c r="D438" s="48" t="s">
        <v>214</v>
      </c>
      <c r="E438" s="45" t="s">
        <v>311</v>
      </c>
      <c r="F438" s="36">
        <v>407</v>
      </c>
      <c r="G438" s="103"/>
    </row>
    <row r="439" spans="1:7" x14ac:dyDescent="0.2">
      <c r="A439" s="49" t="s">
        <v>146</v>
      </c>
      <c r="B439" s="48" t="str">
        <f t="shared" si="7"/>
        <v xml:space="preserve">Responsable d'unitéAdjoint animation principal 2° classe </v>
      </c>
      <c r="C439" s="50" t="s">
        <v>147</v>
      </c>
      <c r="D439" s="48" t="s">
        <v>215</v>
      </c>
      <c r="E439" s="45" t="s">
        <v>312</v>
      </c>
      <c r="F439" s="36">
        <v>441</v>
      </c>
      <c r="G439" s="103"/>
    </row>
    <row r="440" spans="1:7" x14ac:dyDescent="0.2">
      <c r="A440" s="49" t="s">
        <v>146</v>
      </c>
      <c r="B440" s="48" t="str">
        <f t="shared" si="7"/>
        <v xml:space="preserve">Responsable d'unitéAdjoint animation principal 1° classe </v>
      </c>
      <c r="C440" s="50" t="s">
        <v>147</v>
      </c>
      <c r="D440" s="48" t="s">
        <v>216</v>
      </c>
      <c r="E440" s="45" t="s">
        <v>313</v>
      </c>
      <c r="F440" s="36">
        <v>444</v>
      </c>
      <c r="G440" s="103"/>
    </row>
    <row r="441" spans="1:7" x14ac:dyDescent="0.2">
      <c r="A441" s="49" t="s">
        <v>146</v>
      </c>
      <c r="B441" s="48" t="str">
        <f t="shared" si="7"/>
        <v>Responsable d'unitéAgents de maîtrise</v>
      </c>
      <c r="C441" s="50" t="s">
        <v>147</v>
      </c>
      <c r="D441" s="48" t="s">
        <v>217</v>
      </c>
      <c r="E441" s="45" t="s">
        <v>348</v>
      </c>
      <c r="F441" s="36">
        <v>419</v>
      </c>
      <c r="G441" s="103"/>
    </row>
    <row r="442" spans="1:7" x14ac:dyDescent="0.2">
      <c r="A442" s="49" t="s">
        <v>146</v>
      </c>
      <c r="B442" s="48" t="str">
        <f t="shared" si="7"/>
        <v>Responsable d'unitéAgents de maîtrise principal</v>
      </c>
      <c r="C442" s="50" t="s">
        <v>147</v>
      </c>
      <c r="D442" s="48" t="s">
        <v>218</v>
      </c>
      <c r="E442" s="45" t="s">
        <v>349</v>
      </c>
      <c r="F442" s="36">
        <v>429</v>
      </c>
      <c r="G442" s="103"/>
    </row>
    <row r="443" spans="1:7" x14ac:dyDescent="0.2">
      <c r="A443" s="49" t="s">
        <v>146</v>
      </c>
      <c r="B443" s="48" t="str">
        <f t="shared" si="7"/>
        <v>Responsable d'unitéAdjoint technique</v>
      </c>
      <c r="C443" s="50" t="s">
        <v>147</v>
      </c>
      <c r="D443" s="48" t="s">
        <v>219</v>
      </c>
      <c r="E443" s="45" t="s">
        <v>287</v>
      </c>
      <c r="F443" s="36">
        <v>406</v>
      </c>
      <c r="G443" s="103"/>
    </row>
    <row r="444" spans="1:7" x14ac:dyDescent="0.2">
      <c r="A444" s="49" t="s">
        <v>146</v>
      </c>
      <c r="B444" s="48" t="str">
        <f t="shared" si="7"/>
        <v xml:space="preserve">Responsable d'unitéAdjoint technique principal 2° classe </v>
      </c>
      <c r="C444" s="50" t="s">
        <v>147</v>
      </c>
      <c r="D444" s="48" t="s">
        <v>220</v>
      </c>
      <c r="E444" s="45" t="s">
        <v>288</v>
      </c>
      <c r="F444" s="36">
        <v>419</v>
      </c>
      <c r="G444" s="103"/>
    </row>
    <row r="445" spans="1:7" x14ac:dyDescent="0.2">
      <c r="A445" s="49" t="s">
        <v>146</v>
      </c>
      <c r="B445" s="48" t="str">
        <f t="shared" si="7"/>
        <v xml:space="preserve">Responsable d'unitéAdjoint technique principal 1° classe </v>
      </c>
      <c r="C445" s="50" t="s">
        <v>147</v>
      </c>
      <c r="D445" s="48" t="s">
        <v>221</v>
      </c>
      <c r="E445" s="45" t="s">
        <v>289</v>
      </c>
      <c r="F445" s="36">
        <v>429</v>
      </c>
      <c r="G445" s="103"/>
    </row>
    <row r="446" spans="1:7" x14ac:dyDescent="0.2">
      <c r="A446" s="49" t="s">
        <v>150</v>
      </c>
      <c r="B446" s="48" t="str">
        <f t="shared" si="7"/>
        <v>Responsable d'équipeAdjoint administratif</v>
      </c>
      <c r="C446" s="50" t="s">
        <v>151</v>
      </c>
      <c r="D446" s="48" t="s">
        <v>200</v>
      </c>
      <c r="E446" s="45" t="s">
        <v>283</v>
      </c>
      <c r="F446" s="36">
        <v>387</v>
      </c>
      <c r="G446" s="103"/>
    </row>
    <row r="447" spans="1:7" x14ac:dyDescent="0.2">
      <c r="A447" s="49" t="s">
        <v>150</v>
      </c>
      <c r="B447" s="48" t="str">
        <f t="shared" si="7"/>
        <v xml:space="preserve">Responsable d'équipeAdjoint administratif Principal 2° classe </v>
      </c>
      <c r="C447" s="50" t="s">
        <v>151</v>
      </c>
      <c r="D447" s="48" t="s">
        <v>201</v>
      </c>
      <c r="E447" s="45" t="s">
        <v>286</v>
      </c>
      <c r="F447" s="36">
        <v>421</v>
      </c>
      <c r="G447" s="103"/>
    </row>
    <row r="448" spans="1:7" x14ac:dyDescent="0.2">
      <c r="A448" s="49" t="s">
        <v>150</v>
      </c>
      <c r="B448" s="48" t="str">
        <f t="shared" si="7"/>
        <v xml:space="preserve">Responsable d'équipeAdjoint administratif Principal 1° classe </v>
      </c>
      <c r="C448" s="50" t="s">
        <v>151</v>
      </c>
      <c r="D448" s="48" t="s">
        <v>202</v>
      </c>
      <c r="E448" s="45" t="s">
        <v>285</v>
      </c>
      <c r="F448" s="36">
        <v>424</v>
      </c>
      <c r="G448" s="103"/>
    </row>
    <row r="449" spans="1:7" x14ac:dyDescent="0.2">
      <c r="A449" s="49" t="s">
        <v>150</v>
      </c>
      <c r="B449" s="48" t="str">
        <f t="shared" si="7"/>
        <v>Responsable d'équipeAdjoint patrimoine</v>
      </c>
      <c r="C449" s="50" t="s">
        <v>151</v>
      </c>
      <c r="D449" s="48" t="s">
        <v>203</v>
      </c>
      <c r="E449" s="45" t="s">
        <v>343</v>
      </c>
      <c r="F449" s="36">
        <v>387</v>
      </c>
      <c r="G449" s="103"/>
    </row>
    <row r="450" spans="1:7" x14ac:dyDescent="0.2">
      <c r="A450" s="49" t="s">
        <v>150</v>
      </c>
      <c r="B450" s="48" t="str">
        <f t="shared" si="7"/>
        <v xml:space="preserve">Responsable d'équipeAdjoint patrimoine principal 2° classe </v>
      </c>
      <c r="C450" s="50" t="s">
        <v>151</v>
      </c>
      <c r="D450" s="48" t="s">
        <v>204</v>
      </c>
      <c r="E450" s="45" t="s">
        <v>344</v>
      </c>
      <c r="F450" s="36">
        <v>421</v>
      </c>
      <c r="G450" s="103"/>
    </row>
    <row r="451" spans="1:7" x14ac:dyDescent="0.2">
      <c r="A451" s="49" t="s">
        <v>150</v>
      </c>
      <c r="B451" s="48" t="str">
        <f t="shared" si="7"/>
        <v xml:space="preserve">Responsable d'équipeAdjoint patrimoine principal 1° classe </v>
      </c>
      <c r="C451" s="50" t="s">
        <v>151</v>
      </c>
      <c r="D451" s="48" t="s">
        <v>205</v>
      </c>
      <c r="E451" s="45" t="s">
        <v>345</v>
      </c>
      <c r="F451" s="36">
        <v>424</v>
      </c>
      <c r="G451" s="103"/>
    </row>
    <row r="452" spans="1:7" x14ac:dyDescent="0.2">
      <c r="A452" s="49" t="s">
        <v>150</v>
      </c>
      <c r="B452" s="48" t="str">
        <f t="shared" si="7"/>
        <v>Responsable d'équipeOpérateur APS</v>
      </c>
      <c r="C452" s="50" t="s">
        <v>151</v>
      </c>
      <c r="D452" s="48" t="s">
        <v>206</v>
      </c>
      <c r="E452" s="45" t="s">
        <v>322</v>
      </c>
      <c r="F452" s="36">
        <v>387</v>
      </c>
      <c r="G452" s="103"/>
    </row>
    <row r="453" spans="1:7" x14ac:dyDescent="0.2">
      <c r="A453" s="49" t="s">
        <v>150</v>
      </c>
      <c r="B453" s="48" t="str">
        <f t="shared" si="7"/>
        <v>Responsable d'équipeOpérateur APS qualifié</v>
      </c>
      <c r="C453" s="50" t="s">
        <v>151</v>
      </c>
      <c r="D453" s="48" t="s">
        <v>207</v>
      </c>
      <c r="E453" s="45" t="s">
        <v>323</v>
      </c>
      <c r="F453" s="36">
        <v>421</v>
      </c>
      <c r="G453" s="103"/>
    </row>
    <row r="454" spans="1:7" x14ac:dyDescent="0.2">
      <c r="A454" s="49" t="s">
        <v>150</v>
      </c>
      <c r="B454" s="48" t="str">
        <f t="shared" si="7"/>
        <v>Responsable d'équipeOpérateur APS principal</v>
      </c>
      <c r="C454" s="50" t="s">
        <v>151</v>
      </c>
      <c r="D454" s="48" t="s">
        <v>208</v>
      </c>
      <c r="E454" s="45" t="s">
        <v>324</v>
      </c>
      <c r="F454" s="36">
        <v>424</v>
      </c>
      <c r="G454" s="103"/>
    </row>
    <row r="455" spans="1:7" x14ac:dyDescent="0.2">
      <c r="A455" s="49" t="s">
        <v>150</v>
      </c>
      <c r="B455" s="48" t="str">
        <f t="shared" si="7"/>
        <v>Responsable d'équipeATSEM principal 2° classe</v>
      </c>
      <c r="C455" s="50" t="s">
        <v>151</v>
      </c>
      <c r="D455" s="48" t="s">
        <v>209</v>
      </c>
      <c r="E455" t="s">
        <v>404</v>
      </c>
      <c r="F455" s="36">
        <v>421</v>
      </c>
      <c r="G455" s="103"/>
    </row>
    <row r="456" spans="1:7" x14ac:dyDescent="0.2">
      <c r="A456" s="49" t="s">
        <v>150</v>
      </c>
      <c r="B456" s="48" t="str">
        <f t="shared" si="7"/>
        <v>Responsable d'équipeATSEM principal 1° classe</v>
      </c>
      <c r="C456" s="50" t="s">
        <v>151</v>
      </c>
      <c r="D456" s="48" t="s">
        <v>210</v>
      </c>
      <c r="E456" t="s">
        <v>405</v>
      </c>
      <c r="F456" s="36">
        <v>424</v>
      </c>
      <c r="G456" s="103"/>
    </row>
    <row r="457" spans="1:7" x14ac:dyDescent="0.2">
      <c r="A457" s="49" t="s">
        <v>150</v>
      </c>
      <c r="B457" s="48" t="str">
        <f t="shared" si="7"/>
        <v>Responsable d'équipeAgent social</v>
      </c>
      <c r="C457" s="50" t="s">
        <v>151</v>
      </c>
      <c r="D457" s="48" t="s">
        <v>211</v>
      </c>
      <c r="E457" s="45" t="s">
        <v>401</v>
      </c>
      <c r="F457" s="36">
        <v>387</v>
      </c>
      <c r="G457" s="103"/>
    </row>
    <row r="458" spans="1:7" x14ac:dyDescent="0.2">
      <c r="A458" s="49" t="s">
        <v>150</v>
      </c>
      <c r="B458" s="48" t="str">
        <f t="shared" si="7"/>
        <v>Responsable d'équipeAgent social principal 2° classe</v>
      </c>
      <c r="C458" s="50" t="s">
        <v>151</v>
      </c>
      <c r="D458" s="48" t="s">
        <v>212</v>
      </c>
      <c r="E458" s="45" t="s">
        <v>402</v>
      </c>
      <c r="F458" s="36">
        <v>421</v>
      </c>
      <c r="G458" s="103"/>
    </row>
    <row r="459" spans="1:7" x14ac:dyDescent="0.2">
      <c r="A459" s="49" t="s">
        <v>150</v>
      </c>
      <c r="B459" s="48" t="str">
        <f t="shared" si="7"/>
        <v>Responsable d'équipeAgent social principal 1° classe</v>
      </c>
      <c r="C459" s="50" t="s">
        <v>151</v>
      </c>
      <c r="D459" s="48" t="s">
        <v>213</v>
      </c>
      <c r="E459" t="s">
        <v>403</v>
      </c>
      <c r="F459" s="36">
        <v>424</v>
      </c>
      <c r="G459" s="103"/>
    </row>
    <row r="460" spans="1:7" x14ac:dyDescent="0.2">
      <c r="A460" s="49" t="s">
        <v>150</v>
      </c>
      <c r="B460" s="48" t="str">
        <f t="shared" si="7"/>
        <v>Responsable d'équipeAdjoint animation</v>
      </c>
      <c r="C460" s="50" t="s">
        <v>151</v>
      </c>
      <c r="D460" s="48" t="s">
        <v>214</v>
      </c>
      <c r="E460" s="45" t="s">
        <v>311</v>
      </c>
      <c r="F460" s="36">
        <v>387</v>
      </c>
      <c r="G460" s="103"/>
    </row>
    <row r="461" spans="1:7" x14ac:dyDescent="0.2">
      <c r="A461" s="49" t="s">
        <v>150</v>
      </c>
      <c r="B461" s="48" t="str">
        <f t="shared" si="7"/>
        <v xml:space="preserve">Responsable d'équipeAdjoint animation principal 2° classe </v>
      </c>
      <c r="C461" s="50" t="s">
        <v>151</v>
      </c>
      <c r="D461" s="48" t="s">
        <v>215</v>
      </c>
      <c r="E461" s="45" t="s">
        <v>312</v>
      </c>
      <c r="F461" s="36">
        <v>421</v>
      </c>
      <c r="G461" s="103"/>
    </row>
    <row r="462" spans="1:7" x14ac:dyDescent="0.2">
      <c r="A462" s="49" t="s">
        <v>150</v>
      </c>
      <c r="B462" s="48" t="str">
        <f t="shared" si="7"/>
        <v xml:space="preserve">Responsable d'équipeAdjoint animation principal 1° classe </v>
      </c>
      <c r="C462" s="50" t="s">
        <v>151</v>
      </c>
      <c r="D462" s="48" t="s">
        <v>216</v>
      </c>
      <c r="E462" s="45" t="s">
        <v>313</v>
      </c>
      <c r="F462" s="36">
        <v>424</v>
      </c>
      <c r="G462" s="103"/>
    </row>
    <row r="463" spans="1:7" x14ac:dyDescent="0.2">
      <c r="A463" s="49" t="s">
        <v>150</v>
      </c>
      <c r="B463" s="48" t="str">
        <f t="shared" si="7"/>
        <v>Responsable d'équipeAgents de maîtrise</v>
      </c>
      <c r="C463" s="50" t="s">
        <v>151</v>
      </c>
      <c r="D463" s="48" t="s">
        <v>217</v>
      </c>
      <c r="E463" s="45" t="s">
        <v>348</v>
      </c>
      <c r="F463" s="36">
        <v>399</v>
      </c>
      <c r="G463" s="103"/>
    </row>
    <row r="464" spans="1:7" x14ac:dyDescent="0.2">
      <c r="A464" s="49" t="s">
        <v>150</v>
      </c>
      <c r="B464" s="48" t="str">
        <f t="shared" si="7"/>
        <v>Responsable d'équipeAgents de maîtrise principal</v>
      </c>
      <c r="C464" s="50" t="s">
        <v>151</v>
      </c>
      <c r="D464" s="48" t="s">
        <v>218</v>
      </c>
      <c r="E464" s="45" t="s">
        <v>349</v>
      </c>
      <c r="F464" s="36">
        <v>409</v>
      </c>
      <c r="G464" s="103"/>
    </row>
    <row r="465" spans="1:7" x14ac:dyDescent="0.2">
      <c r="A465" s="49" t="s">
        <v>150</v>
      </c>
      <c r="B465" s="48" t="str">
        <f t="shared" si="7"/>
        <v>Responsable d'équipeAdjoint technique</v>
      </c>
      <c r="C465" s="50" t="s">
        <v>151</v>
      </c>
      <c r="D465" s="48" t="s">
        <v>219</v>
      </c>
      <c r="E465" s="45" t="s">
        <v>287</v>
      </c>
      <c r="F465" s="36">
        <v>386</v>
      </c>
      <c r="G465" s="103"/>
    </row>
    <row r="466" spans="1:7" x14ac:dyDescent="0.2">
      <c r="A466" s="49" t="s">
        <v>150</v>
      </c>
      <c r="B466" s="48" t="str">
        <f t="shared" si="7"/>
        <v xml:space="preserve">Responsable d'équipeAdjoint technique principal 2° classe </v>
      </c>
      <c r="C466" s="50" t="s">
        <v>151</v>
      </c>
      <c r="D466" s="48" t="s">
        <v>220</v>
      </c>
      <c r="E466" s="45" t="s">
        <v>288</v>
      </c>
      <c r="F466" s="36">
        <v>399</v>
      </c>
      <c r="G466" s="103"/>
    </row>
    <row r="467" spans="1:7" x14ac:dyDescent="0.2">
      <c r="A467" s="49" t="s">
        <v>150</v>
      </c>
      <c r="B467" s="48" t="str">
        <f t="shared" si="7"/>
        <v xml:space="preserve">Responsable d'équipeAdjoint technique principal 1° classe </v>
      </c>
      <c r="C467" s="50" t="s">
        <v>151</v>
      </c>
      <c r="D467" s="48" t="s">
        <v>221</v>
      </c>
      <c r="E467" s="45" t="s">
        <v>289</v>
      </c>
      <c r="F467" s="36">
        <v>409</v>
      </c>
      <c r="G467" s="103"/>
    </row>
    <row r="468" spans="1:7" x14ac:dyDescent="0.2">
      <c r="A468" s="51">
        <v>60</v>
      </c>
      <c r="B468" s="56" t="str">
        <f t="shared" si="7"/>
        <v>Responsable d'équipe - sujétion exhumationAgents de maîtrise</v>
      </c>
      <c r="C468" s="50" t="s">
        <v>222</v>
      </c>
      <c r="D468" s="48" t="s">
        <v>217</v>
      </c>
      <c r="E468" s="45" t="s">
        <v>348</v>
      </c>
      <c r="F468" s="36">
        <v>599</v>
      </c>
      <c r="G468" s="159" t="s">
        <v>223</v>
      </c>
    </row>
    <row r="469" spans="1:7" x14ac:dyDescent="0.2">
      <c r="A469" s="51">
        <v>60</v>
      </c>
      <c r="B469" s="56" t="str">
        <f t="shared" si="7"/>
        <v>Responsable d'équipe - sujétion exhumationAgents de maîtrise principal</v>
      </c>
      <c r="C469" s="50" t="s">
        <v>222</v>
      </c>
      <c r="D469" s="48" t="s">
        <v>218</v>
      </c>
      <c r="E469" s="45" t="s">
        <v>349</v>
      </c>
      <c r="F469" s="36">
        <v>609</v>
      </c>
      <c r="G469" s="159"/>
    </row>
    <row r="470" spans="1:7" x14ac:dyDescent="0.2">
      <c r="A470" s="51">
        <v>60</v>
      </c>
      <c r="B470" s="56" t="str">
        <f t="shared" si="7"/>
        <v>Responsable d'équipe - sujétion exhumationAdjoint technique</v>
      </c>
      <c r="C470" s="50" t="s">
        <v>222</v>
      </c>
      <c r="D470" s="48" t="s">
        <v>219</v>
      </c>
      <c r="E470" s="45" t="s">
        <v>287</v>
      </c>
      <c r="F470" s="36">
        <v>586</v>
      </c>
      <c r="G470" s="159"/>
    </row>
    <row r="471" spans="1:7" x14ac:dyDescent="0.2">
      <c r="A471" s="51">
        <v>60</v>
      </c>
      <c r="B471" s="56" t="str">
        <f t="shared" si="7"/>
        <v xml:space="preserve">Responsable d'équipe - sujétion exhumationAdjoint technique principal 2° classe </v>
      </c>
      <c r="C471" s="50" t="s">
        <v>222</v>
      </c>
      <c r="D471" s="48" t="s">
        <v>220</v>
      </c>
      <c r="E471" s="45" t="s">
        <v>288</v>
      </c>
      <c r="F471" s="36">
        <v>599</v>
      </c>
      <c r="G471" s="159"/>
    </row>
    <row r="472" spans="1:7" x14ac:dyDescent="0.2">
      <c r="A472" s="51">
        <v>60</v>
      </c>
      <c r="B472" s="56" t="str">
        <f t="shared" si="7"/>
        <v xml:space="preserve">Responsable d'équipe - sujétion exhumationAdjoint technique principal 1° classe </v>
      </c>
      <c r="C472" s="50" t="s">
        <v>222</v>
      </c>
      <c r="D472" s="48" t="s">
        <v>221</v>
      </c>
      <c r="E472" s="45" t="s">
        <v>289</v>
      </c>
      <c r="F472" s="36">
        <v>609</v>
      </c>
      <c r="G472" s="159"/>
    </row>
    <row r="473" spans="1:7" x14ac:dyDescent="0.2">
      <c r="A473" s="51">
        <v>61</v>
      </c>
      <c r="B473" s="56" t="str">
        <f t="shared" si="7"/>
        <v>Responsable d'équipe - sujétions niveau 1Agents de maîtrise</v>
      </c>
      <c r="C473" s="50" t="s">
        <v>224</v>
      </c>
      <c r="D473" s="48" t="s">
        <v>217</v>
      </c>
      <c r="E473" s="45" t="s">
        <v>348</v>
      </c>
      <c r="F473" s="36">
        <v>409</v>
      </c>
      <c r="G473" s="159" t="s">
        <v>225</v>
      </c>
    </row>
    <row r="474" spans="1:7" x14ac:dyDescent="0.2">
      <c r="A474" s="51">
        <v>61</v>
      </c>
      <c r="B474" s="56" t="str">
        <f t="shared" si="7"/>
        <v>Responsable d'équipe - sujétions niveau 1Agents de maîtrise principal</v>
      </c>
      <c r="C474" s="50" t="s">
        <v>224</v>
      </c>
      <c r="D474" s="48" t="s">
        <v>218</v>
      </c>
      <c r="E474" s="45" t="s">
        <v>349</v>
      </c>
      <c r="F474" s="36">
        <v>419</v>
      </c>
      <c r="G474" s="159"/>
    </row>
    <row r="475" spans="1:7" x14ac:dyDescent="0.2">
      <c r="A475" s="51">
        <v>61</v>
      </c>
      <c r="B475" s="56" t="str">
        <f t="shared" si="7"/>
        <v>Responsable d'équipe - sujétions niveau 1Adjoint technique</v>
      </c>
      <c r="C475" s="50" t="s">
        <v>224</v>
      </c>
      <c r="D475" s="48" t="s">
        <v>219</v>
      </c>
      <c r="E475" s="45" t="s">
        <v>287</v>
      </c>
      <c r="F475" s="36">
        <v>396</v>
      </c>
      <c r="G475" s="159"/>
    </row>
    <row r="476" spans="1:7" x14ac:dyDescent="0.2">
      <c r="A476" s="51">
        <v>61</v>
      </c>
      <c r="B476" s="56" t="str">
        <f t="shared" si="7"/>
        <v xml:space="preserve">Responsable d'équipe - sujétions niveau 1Adjoint technique principal 2° classe </v>
      </c>
      <c r="C476" s="50" t="s">
        <v>224</v>
      </c>
      <c r="D476" s="48" t="s">
        <v>220</v>
      </c>
      <c r="E476" s="45" t="s">
        <v>288</v>
      </c>
      <c r="F476" s="36">
        <v>409</v>
      </c>
      <c r="G476" s="159"/>
    </row>
    <row r="477" spans="1:7" x14ac:dyDescent="0.2">
      <c r="A477" s="51">
        <v>61</v>
      </c>
      <c r="B477" s="56" t="str">
        <f t="shared" si="7"/>
        <v xml:space="preserve">Responsable d'équipe - sujétions niveau 1Adjoint technique principal 1° classe </v>
      </c>
      <c r="C477" s="50" t="s">
        <v>224</v>
      </c>
      <c r="D477" s="48" t="s">
        <v>221</v>
      </c>
      <c r="E477" s="45" t="s">
        <v>289</v>
      </c>
      <c r="F477" s="36">
        <v>419</v>
      </c>
      <c r="G477" s="159"/>
    </row>
    <row r="478" spans="1:7" x14ac:dyDescent="0.2">
      <c r="A478" s="51">
        <v>62</v>
      </c>
      <c r="B478" s="56" t="str">
        <f t="shared" si="7"/>
        <v>Responsable d'équipe - sujétions niveau 2Agents de maîtrise</v>
      </c>
      <c r="C478" s="50" t="s">
        <v>226</v>
      </c>
      <c r="D478" s="48" t="s">
        <v>217</v>
      </c>
      <c r="E478" s="45" t="s">
        <v>348</v>
      </c>
      <c r="F478" s="36">
        <v>414</v>
      </c>
      <c r="G478" s="159" t="s">
        <v>227</v>
      </c>
    </row>
    <row r="479" spans="1:7" x14ac:dyDescent="0.2">
      <c r="A479" s="51">
        <v>62</v>
      </c>
      <c r="B479" s="56" t="str">
        <f t="shared" si="7"/>
        <v>Responsable d'équipe - sujétions niveau 2Agents de maîtrise principal</v>
      </c>
      <c r="C479" s="50" t="s">
        <v>226</v>
      </c>
      <c r="D479" s="48" t="s">
        <v>218</v>
      </c>
      <c r="E479" s="45" t="s">
        <v>349</v>
      </c>
      <c r="F479" s="36">
        <v>424</v>
      </c>
      <c r="G479" s="159"/>
    </row>
    <row r="480" spans="1:7" x14ac:dyDescent="0.2">
      <c r="A480" s="51">
        <v>62</v>
      </c>
      <c r="B480" s="56" t="str">
        <f t="shared" si="7"/>
        <v>Responsable d'équipe - sujétions niveau 2Adjoint technique</v>
      </c>
      <c r="C480" s="50" t="s">
        <v>226</v>
      </c>
      <c r="D480" s="48" t="s">
        <v>219</v>
      </c>
      <c r="E480" s="45" t="s">
        <v>287</v>
      </c>
      <c r="F480" s="36">
        <v>401</v>
      </c>
      <c r="G480" s="159"/>
    </row>
    <row r="481" spans="1:7" x14ac:dyDescent="0.2">
      <c r="A481" s="51">
        <v>62</v>
      </c>
      <c r="B481" s="56" t="str">
        <f t="shared" si="7"/>
        <v xml:space="preserve">Responsable d'équipe - sujétions niveau 2Adjoint technique principal 2° classe </v>
      </c>
      <c r="C481" s="50" t="s">
        <v>226</v>
      </c>
      <c r="D481" s="48" t="s">
        <v>220</v>
      </c>
      <c r="E481" s="45" t="s">
        <v>288</v>
      </c>
      <c r="F481" s="36">
        <v>414</v>
      </c>
      <c r="G481" s="159"/>
    </row>
    <row r="482" spans="1:7" x14ac:dyDescent="0.2">
      <c r="A482" s="51">
        <v>62</v>
      </c>
      <c r="B482" s="56" t="str">
        <f t="shared" si="7"/>
        <v xml:space="preserve">Responsable d'équipe - sujétions niveau 2Adjoint technique principal 1° classe </v>
      </c>
      <c r="C482" s="50" t="s">
        <v>226</v>
      </c>
      <c r="D482" s="48" t="s">
        <v>221</v>
      </c>
      <c r="E482" s="45" t="s">
        <v>289</v>
      </c>
      <c r="F482" s="36">
        <v>424</v>
      </c>
      <c r="G482" s="159"/>
    </row>
    <row r="483" spans="1:7" x14ac:dyDescent="0.2">
      <c r="A483" s="51">
        <v>63</v>
      </c>
      <c r="B483" s="56" t="str">
        <f t="shared" si="7"/>
        <v>Responsable d'équipe - sujétions niveau 3Agents de maîtrise</v>
      </c>
      <c r="C483" s="50" t="s">
        <v>228</v>
      </c>
      <c r="D483" s="48" t="s">
        <v>217</v>
      </c>
      <c r="E483" s="45" t="s">
        <v>348</v>
      </c>
      <c r="F483" s="36">
        <v>419</v>
      </c>
      <c r="G483" s="159" t="s">
        <v>229</v>
      </c>
    </row>
    <row r="484" spans="1:7" x14ac:dyDescent="0.2">
      <c r="A484" s="51">
        <v>63</v>
      </c>
      <c r="B484" s="56" t="str">
        <f t="shared" si="7"/>
        <v>Responsable d'équipe - sujétions niveau 3Agents de maîtrise principal</v>
      </c>
      <c r="C484" s="50" t="s">
        <v>228</v>
      </c>
      <c r="D484" s="48" t="s">
        <v>218</v>
      </c>
      <c r="E484" s="45" t="s">
        <v>349</v>
      </c>
      <c r="F484" s="36">
        <v>429</v>
      </c>
      <c r="G484" s="159"/>
    </row>
    <row r="485" spans="1:7" x14ac:dyDescent="0.2">
      <c r="A485" s="51">
        <v>63</v>
      </c>
      <c r="B485" s="56" t="str">
        <f t="shared" si="7"/>
        <v>Responsable d'équipe - sujétions niveau 3Adjoint technique</v>
      </c>
      <c r="C485" s="50" t="s">
        <v>228</v>
      </c>
      <c r="D485" s="48" t="s">
        <v>219</v>
      </c>
      <c r="E485" s="45" t="s">
        <v>287</v>
      </c>
      <c r="F485" s="36">
        <v>406</v>
      </c>
      <c r="G485" s="159"/>
    </row>
    <row r="486" spans="1:7" x14ac:dyDescent="0.2">
      <c r="A486" s="51">
        <v>63</v>
      </c>
      <c r="B486" s="56" t="str">
        <f t="shared" si="7"/>
        <v xml:space="preserve">Responsable d'équipe - sujétions niveau 3Adjoint technique principal 2° classe </v>
      </c>
      <c r="C486" s="50" t="s">
        <v>228</v>
      </c>
      <c r="D486" s="48" t="s">
        <v>220</v>
      </c>
      <c r="E486" s="45" t="s">
        <v>288</v>
      </c>
      <c r="F486" s="36">
        <v>419</v>
      </c>
      <c r="G486" s="159"/>
    </row>
    <row r="487" spans="1:7" x14ac:dyDescent="0.2">
      <c r="A487" s="51">
        <v>63</v>
      </c>
      <c r="B487" s="56" t="str">
        <f t="shared" si="7"/>
        <v xml:space="preserve">Responsable d'équipe - sujétions niveau 3Adjoint technique principal 1° classe </v>
      </c>
      <c r="C487" s="50" t="s">
        <v>228</v>
      </c>
      <c r="D487" s="48" t="s">
        <v>221</v>
      </c>
      <c r="E487" s="45" t="s">
        <v>289</v>
      </c>
      <c r="F487" s="36">
        <v>429</v>
      </c>
      <c r="G487" s="159"/>
    </row>
    <row r="488" spans="1:7" x14ac:dyDescent="0.2">
      <c r="A488" s="51">
        <v>64</v>
      </c>
      <c r="B488" s="56" t="str">
        <f t="shared" si="7"/>
        <v>Responsable d'équipe - sujétions niveau 4Agents de maîtrise</v>
      </c>
      <c r="C488" s="50" t="s">
        <v>230</v>
      </c>
      <c r="D488" s="48" t="s">
        <v>217</v>
      </c>
      <c r="E488" s="45" t="s">
        <v>348</v>
      </c>
      <c r="F488" s="36">
        <v>429</v>
      </c>
      <c r="G488" s="159" t="s">
        <v>231</v>
      </c>
    </row>
    <row r="489" spans="1:7" x14ac:dyDescent="0.2">
      <c r="A489" s="51">
        <v>64</v>
      </c>
      <c r="B489" s="56" t="str">
        <f t="shared" si="7"/>
        <v>Responsable d'équipe - sujétions niveau 4Agents de maîtrise principal</v>
      </c>
      <c r="C489" s="50" t="s">
        <v>230</v>
      </c>
      <c r="D489" s="48" t="s">
        <v>218</v>
      </c>
      <c r="E489" s="45" t="s">
        <v>349</v>
      </c>
      <c r="F489" s="36">
        <v>439</v>
      </c>
      <c r="G489" s="159"/>
    </row>
    <row r="490" spans="1:7" x14ac:dyDescent="0.2">
      <c r="A490" s="51">
        <v>64</v>
      </c>
      <c r="B490" s="56" t="str">
        <f t="shared" si="7"/>
        <v>Responsable d'équipe - sujétions niveau 4Adjoint technique</v>
      </c>
      <c r="C490" s="50" t="s">
        <v>230</v>
      </c>
      <c r="D490" s="48" t="s">
        <v>219</v>
      </c>
      <c r="E490" s="45" t="s">
        <v>287</v>
      </c>
      <c r="F490" s="36">
        <v>416</v>
      </c>
      <c r="G490" s="159"/>
    </row>
    <row r="491" spans="1:7" x14ac:dyDescent="0.2">
      <c r="A491" s="51">
        <v>64</v>
      </c>
      <c r="B491" s="56" t="str">
        <f t="shared" si="7"/>
        <v xml:space="preserve">Responsable d'équipe - sujétions niveau 4Adjoint technique principal 2° classe </v>
      </c>
      <c r="C491" s="50" t="s">
        <v>230</v>
      </c>
      <c r="D491" s="48" t="s">
        <v>220</v>
      </c>
      <c r="E491" s="45" t="s">
        <v>288</v>
      </c>
      <c r="F491" s="36">
        <v>429</v>
      </c>
      <c r="G491" s="159"/>
    </row>
    <row r="492" spans="1:7" x14ac:dyDescent="0.2">
      <c r="A492" s="51">
        <v>64</v>
      </c>
      <c r="B492" s="56" t="str">
        <f t="shared" si="7"/>
        <v xml:space="preserve">Responsable d'équipe - sujétions niveau 4Adjoint technique principal 1° classe </v>
      </c>
      <c r="C492" s="50" t="s">
        <v>230</v>
      </c>
      <c r="D492" s="48" t="s">
        <v>221</v>
      </c>
      <c r="E492" s="45" t="s">
        <v>289</v>
      </c>
      <c r="F492" s="36">
        <v>439</v>
      </c>
      <c r="G492" s="159"/>
    </row>
    <row r="493" spans="1:7" x14ac:dyDescent="0.2">
      <c r="A493" s="51">
        <v>65</v>
      </c>
      <c r="B493" s="56" t="str">
        <f t="shared" si="7"/>
        <v>Responsable d'équipe - sujétions niveau 5Agents de maîtrise</v>
      </c>
      <c r="C493" s="50" t="s">
        <v>232</v>
      </c>
      <c r="D493" s="48" t="s">
        <v>217</v>
      </c>
      <c r="E493" s="45" t="s">
        <v>348</v>
      </c>
      <c r="F493" s="52">
        <v>434</v>
      </c>
      <c r="G493" s="159" t="s">
        <v>233</v>
      </c>
    </row>
    <row r="494" spans="1:7" x14ac:dyDescent="0.2">
      <c r="A494" s="51">
        <v>65</v>
      </c>
      <c r="B494" s="56" t="str">
        <f t="shared" si="7"/>
        <v>Responsable d'équipe - sujétions niveau 5Agents de maîtrise principal</v>
      </c>
      <c r="C494" s="50" t="s">
        <v>232</v>
      </c>
      <c r="D494" s="48" t="s">
        <v>218</v>
      </c>
      <c r="E494" s="45" t="s">
        <v>349</v>
      </c>
      <c r="F494" s="52">
        <v>444</v>
      </c>
      <c r="G494" s="159"/>
    </row>
    <row r="495" spans="1:7" x14ac:dyDescent="0.2">
      <c r="A495" s="51">
        <v>65</v>
      </c>
      <c r="B495" s="56" t="str">
        <f t="shared" si="7"/>
        <v>Responsable d'équipe - sujétions niveau 5Adjoint technique</v>
      </c>
      <c r="C495" s="50" t="s">
        <v>232</v>
      </c>
      <c r="D495" s="48" t="s">
        <v>219</v>
      </c>
      <c r="E495" s="45" t="s">
        <v>287</v>
      </c>
      <c r="F495" s="52">
        <v>421</v>
      </c>
      <c r="G495" s="159"/>
    </row>
    <row r="496" spans="1:7" x14ac:dyDescent="0.2">
      <c r="A496" s="51">
        <v>65</v>
      </c>
      <c r="B496" s="56" t="str">
        <f t="shared" ref="B496:B559" si="8">C496&amp;E496</f>
        <v xml:space="preserve">Responsable d'équipe - sujétions niveau 5Adjoint technique principal 2° classe </v>
      </c>
      <c r="C496" s="50" t="s">
        <v>232</v>
      </c>
      <c r="D496" s="48" t="s">
        <v>220</v>
      </c>
      <c r="E496" s="45" t="s">
        <v>288</v>
      </c>
      <c r="F496" s="52">
        <v>434</v>
      </c>
      <c r="G496" s="159"/>
    </row>
    <row r="497" spans="1:7" x14ac:dyDescent="0.2">
      <c r="A497" s="51">
        <v>65</v>
      </c>
      <c r="B497" s="56" t="str">
        <f t="shared" si="8"/>
        <v xml:space="preserve">Responsable d'équipe - sujétions niveau 5Adjoint technique principal 1° classe </v>
      </c>
      <c r="C497" s="50" t="s">
        <v>232</v>
      </c>
      <c r="D497" s="48" t="s">
        <v>221</v>
      </c>
      <c r="E497" s="45" t="s">
        <v>289</v>
      </c>
      <c r="F497" s="52">
        <v>444</v>
      </c>
      <c r="G497" s="159"/>
    </row>
    <row r="498" spans="1:7" x14ac:dyDescent="0.2">
      <c r="A498" s="49" t="s">
        <v>234</v>
      </c>
      <c r="B498" s="48" t="str">
        <f t="shared" si="8"/>
        <v>Référent d'équipeAdjoint administratif</v>
      </c>
      <c r="C498" s="50" t="s">
        <v>235</v>
      </c>
      <c r="D498" s="48" t="s">
        <v>200</v>
      </c>
      <c r="E498" s="45" t="s">
        <v>283</v>
      </c>
      <c r="F498" s="36">
        <v>347</v>
      </c>
      <c r="G498" s="97"/>
    </row>
    <row r="499" spans="1:7" x14ac:dyDescent="0.2">
      <c r="A499" s="49" t="s">
        <v>234</v>
      </c>
      <c r="B499" s="48" t="str">
        <f t="shared" si="8"/>
        <v xml:space="preserve">Référent d'équipeAdjoint administratif Principal 2° classe </v>
      </c>
      <c r="C499" s="50" t="s">
        <v>235</v>
      </c>
      <c r="D499" s="48" t="s">
        <v>201</v>
      </c>
      <c r="E499" s="45" t="s">
        <v>286</v>
      </c>
      <c r="F499" s="36">
        <v>381</v>
      </c>
      <c r="G499" s="97"/>
    </row>
    <row r="500" spans="1:7" x14ac:dyDescent="0.2">
      <c r="A500" s="49" t="s">
        <v>234</v>
      </c>
      <c r="B500" s="48" t="str">
        <f t="shared" si="8"/>
        <v xml:space="preserve">Référent d'équipeAdjoint administratif Principal 1° classe </v>
      </c>
      <c r="C500" s="50" t="s">
        <v>235</v>
      </c>
      <c r="D500" s="48" t="s">
        <v>202</v>
      </c>
      <c r="E500" s="45" t="s">
        <v>285</v>
      </c>
      <c r="F500" s="36">
        <v>384</v>
      </c>
      <c r="G500" s="97"/>
    </row>
    <row r="501" spans="1:7" x14ac:dyDescent="0.2">
      <c r="A501" s="49" t="s">
        <v>234</v>
      </c>
      <c r="B501" s="48" t="str">
        <f t="shared" si="8"/>
        <v>Référent d'équipeAdjoint patrimoine</v>
      </c>
      <c r="C501" s="50" t="s">
        <v>235</v>
      </c>
      <c r="D501" s="48" t="s">
        <v>203</v>
      </c>
      <c r="E501" s="45" t="s">
        <v>343</v>
      </c>
      <c r="F501" s="36">
        <v>347</v>
      </c>
      <c r="G501" s="97"/>
    </row>
    <row r="502" spans="1:7" x14ac:dyDescent="0.2">
      <c r="A502" s="49" t="s">
        <v>234</v>
      </c>
      <c r="B502" s="48" t="str">
        <f t="shared" si="8"/>
        <v xml:space="preserve">Référent d'équipeAdjoint patrimoine principal 2° classe </v>
      </c>
      <c r="C502" s="50" t="s">
        <v>235</v>
      </c>
      <c r="D502" s="48" t="s">
        <v>204</v>
      </c>
      <c r="E502" s="45" t="s">
        <v>344</v>
      </c>
      <c r="F502" s="36">
        <v>381</v>
      </c>
      <c r="G502" s="97"/>
    </row>
    <row r="503" spans="1:7" x14ac:dyDescent="0.2">
      <c r="A503" s="49" t="s">
        <v>234</v>
      </c>
      <c r="B503" s="48" t="str">
        <f t="shared" si="8"/>
        <v xml:space="preserve">Référent d'équipeAdjoint patrimoine principal 1° classe </v>
      </c>
      <c r="C503" s="50" t="s">
        <v>235</v>
      </c>
      <c r="D503" s="48" t="s">
        <v>205</v>
      </c>
      <c r="E503" s="45" t="s">
        <v>345</v>
      </c>
      <c r="F503" s="36">
        <v>384</v>
      </c>
      <c r="G503" s="97"/>
    </row>
    <row r="504" spans="1:7" x14ac:dyDescent="0.2">
      <c r="A504" s="49" t="s">
        <v>234</v>
      </c>
      <c r="B504" s="48" t="str">
        <f t="shared" si="8"/>
        <v>Référent d'équipeOpérateur APS</v>
      </c>
      <c r="C504" s="50" t="s">
        <v>235</v>
      </c>
      <c r="D504" s="48" t="s">
        <v>206</v>
      </c>
      <c r="E504" s="45" t="s">
        <v>322</v>
      </c>
      <c r="F504" s="36">
        <v>347</v>
      </c>
      <c r="G504" s="97"/>
    </row>
    <row r="505" spans="1:7" x14ac:dyDescent="0.2">
      <c r="A505" s="49" t="s">
        <v>234</v>
      </c>
      <c r="B505" s="48" t="str">
        <f t="shared" si="8"/>
        <v>Référent d'équipeOpérateur APS qualifié</v>
      </c>
      <c r="C505" s="50" t="s">
        <v>235</v>
      </c>
      <c r="D505" s="48" t="s">
        <v>207</v>
      </c>
      <c r="E505" s="45" t="s">
        <v>323</v>
      </c>
      <c r="F505" s="36">
        <v>381</v>
      </c>
      <c r="G505" s="97"/>
    </row>
    <row r="506" spans="1:7" x14ac:dyDescent="0.2">
      <c r="A506" s="49" t="s">
        <v>234</v>
      </c>
      <c r="B506" s="48" t="str">
        <f t="shared" si="8"/>
        <v>Référent d'équipeOpérateur APS principal</v>
      </c>
      <c r="C506" s="50" t="s">
        <v>235</v>
      </c>
      <c r="D506" s="48" t="s">
        <v>208</v>
      </c>
      <c r="E506" s="45" t="s">
        <v>324</v>
      </c>
      <c r="F506" s="36">
        <v>384</v>
      </c>
      <c r="G506" s="97"/>
    </row>
    <row r="507" spans="1:7" x14ac:dyDescent="0.2">
      <c r="A507" s="49" t="s">
        <v>234</v>
      </c>
      <c r="B507" s="48" t="str">
        <f t="shared" si="8"/>
        <v>Référent d'équipeATSEM principal 2° classe</v>
      </c>
      <c r="C507" s="50" t="s">
        <v>235</v>
      </c>
      <c r="D507" s="48" t="s">
        <v>209</v>
      </c>
      <c r="E507" t="s">
        <v>404</v>
      </c>
      <c r="F507" s="36">
        <v>381</v>
      </c>
      <c r="G507" s="97"/>
    </row>
    <row r="508" spans="1:7" x14ac:dyDescent="0.2">
      <c r="A508" s="49" t="s">
        <v>234</v>
      </c>
      <c r="B508" s="48" t="str">
        <f t="shared" si="8"/>
        <v>Référent d'équipeATSEM principal 1° classe</v>
      </c>
      <c r="C508" s="50" t="s">
        <v>235</v>
      </c>
      <c r="D508" s="48" t="s">
        <v>210</v>
      </c>
      <c r="E508" t="s">
        <v>405</v>
      </c>
      <c r="F508" s="36">
        <v>384</v>
      </c>
      <c r="G508" s="97"/>
    </row>
    <row r="509" spans="1:7" x14ac:dyDescent="0.2">
      <c r="A509" s="49" t="s">
        <v>234</v>
      </c>
      <c r="B509" s="48" t="str">
        <f t="shared" si="8"/>
        <v>Référent d'équipeAgent social</v>
      </c>
      <c r="C509" s="50" t="s">
        <v>235</v>
      </c>
      <c r="D509" s="48" t="s">
        <v>211</v>
      </c>
      <c r="E509" s="45" t="s">
        <v>401</v>
      </c>
      <c r="F509" s="36">
        <v>347</v>
      </c>
      <c r="G509" s="97"/>
    </row>
    <row r="510" spans="1:7" x14ac:dyDescent="0.2">
      <c r="A510" s="49" t="s">
        <v>234</v>
      </c>
      <c r="B510" s="48" t="str">
        <f t="shared" si="8"/>
        <v>Référent d'équipeAgent social principal 2° classe</v>
      </c>
      <c r="C510" s="50" t="s">
        <v>235</v>
      </c>
      <c r="D510" s="48" t="s">
        <v>212</v>
      </c>
      <c r="E510" s="45" t="s">
        <v>402</v>
      </c>
      <c r="F510" s="36">
        <v>381</v>
      </c>
      <c r="G510" s="97"/>
    </row>
    <row r="511" spans="1:7" x14ac:dyDescent="0.2">
      <c r="A511" s="49" t="s">
        <v>234</v>
      </c>
      <c r="B511" s="48" t="str">
        <f t="shared" si="8"/>
        <v>Référent d'équipeAgent social principal 1° classe</v>
      </c>
      <c r="C511" s="50" t="s">
        <v>235</v>
      </c>
      <c r="D511" s="48" t="s">
        <v>213</v>
      </c>
      <c r="E511" t="s">
        <v>403</v>
      </c>
      <c r="F511" s="36">
        <v>384</v>
      </c>
      <c r="G511" s="97"/>
    </row>
    <row r="512" spans="1:7" x14ac:dyDescent="0.2">
      <c r="A512" s="49" t="s">
        <v>234</v>
      </c>
      <c r="B512" s="48" t="str">
        <f t="shared" si="8"/>
        <v>Référent d'équipeAdjoint animation</v>
      </c>
      <c r="C512" s="50" t="s">
        <v>235</v>
      </c>
      <c r="D512" s="48" t="s">
        <v>214</v>
      </c>
      <c r="E512" s="45" t="s">
        <v>311</v>
      </c>
      <c r="F512" s="36">
        <v>347</v>
      </c>
      <c r="G512" s="97"/>
    </row>
    <row r="513" spans="1:7" x14ac:dyDescent="0.2">
      <c r="A513" s="49" t="s">
        <v>234</v>
      </c>
      <c r="B513" s="48" t="str">
        <f t="shared" si="8"/>
        <v xml:space="preserve">Référent d'équipeAdjoint animation principal 2° classe </v>
      </c>
      <c r="C513" s="50" t="s">
        <v>235</v>
      </c>
      <c r="D513" s="48" t="s">
        <v>215</v>
      </c>
      <c r="E513" s="45" t="s">
        <v>312</v>
      </c>
      <c r="F513" s="36">
        <v>381</v>
      </c>
      <c r="G513" s="97"/>
    </row>
    <row r="514" spans="1:7" x14ac:dyDescent="0.2">
      <c r="A514" s="49" t="s">
        <v>234</v>
      </c>
      <c r="B514" s="48" t="str">
        <f t="shared" si="8"/>
        <v xml:space="preserve">Référent d'équipeAdjoint animation principal 1° classe </v>
      </c>
      <c r="C514" s="50" t="s">
        <v>235</v>
      </c>
      <c r="D514" s="48" t="s">
        <v>216</v>
      </c>
      <c r="E514" s="45" t="s">
        <v>313</v>
      </c>
      <c r="F514" s="36">
        <v>384</v>
      </c>
      <c r="G514" s="97"/>
    </row>
    <row r="515" spans="1:7" x14ac:dyDescent="0.2">
      <c r="A515" s="49" t="s">
        <v>234</v>
      </c>
      <c r="B515" s="48" t="str">
        <f t="shared" si="8"/>
        <v>Référent d'équipeAgents de maîtrise</v>
      </c>
      <c r="C515" s="50" t="s">
        <v>235</v>
      </c>
      <c r="D515" s="48" t="s">
        <v>217</v>
      </c>
      <c r="E515" s="45" t="s">
        <v>348</v>
      </c>
      <c r="F515" s="36">
        <v>359</v>
      </c>
      <c r="G515" s="97"/>
    </row>
    <row r="516" spans="1:7" x14ac:dyDescent="0.2">
      <c r="A516" s="49" t="s">
        <v>234</v>
      </c>
      <c r="B516" s="48" t="str">
        <f t="shared" si="8"/>
        <v>Référent d'équipeAgents de maîtrise principal</v>
      </c>
      <c r="C516" s="50" t="s">
        <v>235</v>
      </c>
      <c r="D516" s="48" t="s">
        <v>218</v>
      </c>
      <c r="E516" s="45" t="s">
        <v>349</v>
      </c>
      <c r="F516" s="36">
        <v>368</v>
      </c>
      <c r="G516" s="97"/>
    </row>
    <row r="517" spans="1:7" x14ac:dyDescent="0.2">
      <c r="A517" s="49" t="s">
        <v>234</v>
      </c>
      <c r="B517" s="48" t="str">
        <f t="shared" si="8"/>
        <v>Référent d'équipeAdjoint technique</v>
      </c>
      <c r="C517" s="50" t="s">
        <v>235</v>
      </c>
      <c r="D517" s="48" t="s">
        <v>219</v>
      </c>
      <c r="E517" s="45" t="s">
        <v>287</v>
      </c>
      <c r="F517" s="36">
        <v>346</v>
      </c>
      <c r="G517" s="97"/>
    </row>
    <row r="518" spans="1:7" x14ac:dyDescent="0.2">
      <c r="A518" s="49" t="s">
        <v>234</v>
      </c>
      <c r="B518" s="48" t="str">
        <f t="shared" si="8"/>
        <v xml:space="preserve">Référent d'équipeAdjoint technique principal 2° classe </v>
      </c>
      <c r="C518" s="50" t="s">
        <v>235</v>
      </c>
      <c r="D518" s="48" t="s">
        <v>220</v>
      </c>
      <c r="E518" s="45" t="s">
        <v>288</v>
      </c>
      <c r="F518" s="36">
        <v>359</v>
      </c>
      <c r="G518" s="97"/>
    </row>
    <row r="519" spans="1:7" x14ac:dyDescent="0.2">
      <c r="A519" s="49" t="s">
        <v>234</v>
      </c>
      <c r="B519" s="48" t="str">
        <f t="shared" si="8"/>
        <v xml:space="preserve">Référent d'équipeAdjoint technique principal 1° classe </v>
      </c>
      <c r="C519" s="50" t="s">
        <v>235</v>
      </c>
      <c r="D519" s="48" t="s">
        <v>221</v>
      </c>
      <c r="E519" s="45" t="s">
        <v>289</v>
      </c>
      <c r="F519" s="36">
        <v>368</v>
      </c>
      <c r="G519" s="97"/>
    </row>
    <row r="520" spans="1:7" x14ac:dyDescent="0.2">
      <c r="A520" s="51">
        <v>71</v>
      </c>
      <c r="B520" s="56" t="str">
        <f t="shared" si="8"/>
        <v>Référent d'équipe - sujétions niveau 1Agents de maîtrise</v>
      </c>
      <c r="C520" s="50" t="s">
        <v>236</v>
      </c>
      <c r="D520" s="48" t="s">
        <v>217</v>
      </c>
      <c r="E520" s="45" t="s">
        <v>348</v>
      </c>
      <c r="F520" s="36">
        <v>369</v>
      </c>
      <c r="G520" s="159" t="s">
        <v>237</v>
      </c>
    </row>
    <row r="521" spans="1:7" x14ac:dyDescent="0.2">
      <c r="A521" s="51">
        <v>71</v>
      </c>
      <c r="B521" s="56" t="str">
        <f t="shared" si="8"/>
        <v>Référent d'équipe - sujétions niveau 1Agents de maîtrise principal</v>
      </c>
      <c r="C521" s="50" t="s">
        <v>236</v>
      </c>
      <c r="D521" s="48" t="s">
        <v>218</v>
      </c>
      <c r="E521" s="45" t="s">
        <v>349</v>
      </c>
      <c r="F521" s="36">
        <v>378</v>
      </c>
      <c r="G521" s="159"/>
    </row>
    <row r="522" spans="1:7" x14ac:dyDescent="0.2">
      <c r="A522" s="51">
        <v>71</v>
      </c>
      <c r="B522" s="56" t="str">
        <f t="shared" si="8"/>
        <v>Référent d'équipe - sujétions niveau 1Adjoint technique</v>
      </c>
      <c r="C522" s="50" t="s">
        <v>236</v>
      </c>
      <c r="D522" s="48" t="s">
        <v>219</v>
      </c>
      <c r="E522" s="45" t="s">
        <v>287</v>
      </c>
      <c r="F522" s="36">
        <v>356</v>
      </c>
      <c r="G522" s="159"/>
    </row>
    <row r="523" spans="1:7" x14ac:dyDescent="0.2">
      <c r="A523" s="51">
        <v>71</v>
      </c>
      <c r="B523" s="56" t="str">
        <f t="shared" si="8"/>
        <v xml:space="preserve">Référent d'équipe - sujétions niveau 1Adjoint technique principal 2° classe </v>
      </c>
      <c r="C523" s="50" t="s">
        <v>236</v>
      </c>
      <c r="D523" s="48" t="s">
        <v>220</v>
      </c>
      <c r="E523" s="45" t="s">
        <v>288</v>
      </c>
      <c r="F523" s="36">
        <v>369</v>
      </c>
      <c r="G523" s="159"/>
    </row>
    <row r="524" spans="1:7" x14ac:dyDescent="0.2">
      <c r="A524" s="51">
        <v>71</v>
      </c>
      <c r="B524" s="56" t="str">
        <f t="shared" si="8"/>
        <v xml:space="preserve">Référent d'équipe - sujétions niveau 1Adjoint technique principal 1° classe </v>
      </c>
      <c r="C524" s="50" t="s">
        <v>236</v>
      </c>
      <c r="D524" s="48" t="s">
        <v>221</v>
      </c>
      <c r="E524" s="45" t="s">
        <v>289</v>
      </c>
      <c r="F524" s="36">
        <v>378</v>
      </c>
      <c r="G524" s="159"/>
    </row>
    <row r="525" spans="1:7" x14ac:dyDescent="0.2">
      <c r="A525" s="51">
        <v>72</v>
      </c>
      <c r="B525" s="56" t="str">
        <f t="shared" si="8"/>
        <v>Référent d'équipe - sujétions niveau 2Agents de maîtrise</v>
      </c>
      <c r="C525" s="50" t="s">
        <v>238</v>
      </c>
      <c r="D525" s="48" t="s">
        <v>217</v>
      </c>
      <c r="E525" s="45" t="s">
        <v>348</v>
      </c>
      <c r="F525" s="36">
        <v>374</v>
      </c>
      <c r="G525" s="159" t="s">
        <v>239</v>
      </c>
    </row>
    <row r="526" spans="1:7" x14ac:dyDescent="0.2">
      <c r="A526" s="51">
        <v>72</v>
      </c>
      <c r="B526" s="56" t="str">
        <f t="shared" si="8"/>
        <v>Référent d'équipe - sujétions niveau 2Agents de maîtrise principal</v>
      </c>
      <c r="C526" s="50" t="s">
        <v>238</v>
      </c>
      <c r="D526" s="48" t="s">
        <v>218</v>
      </c>
      <c r="E526" s="45" t="s">
        <v>349</v>
      </c>
      <c r="F526" s="36">
        <v>383</v>
      </c>
      <c r="G526" s="159"/>
    </row>
    <row r="527" spans="1:7" x14ac:dyDescent="0.2">
      <c r="A527" s="51">
        <v>72</v>
      </c>
      <c r="B527" s="56" t="str">
        <f t="shared" si="8"/>
        <v>Référent d'équipe - sujétions niveau 2Adjoint technique</v>
      </c>
      <c r="C527" s="50" t="s">
        <v>238</v>
      </c>
      <c r="D527" s="48" t="s">
        <v>219</v>
      </c>
      <c r="E527" s="45" t="s">
        <v>287</v>
      </c>
      <c r="F527" s="36">
        <v>361</v>
      </c>
      <c r="G527" s="159"/>
    </row>
    <row r="528" spans="1:7" x14ac:dyDescent="0.2">
      <c r="A528" s="51">
        <v>72</v>
      </c>
      <c r="B528" s="56" t="str">
        <f t="shared" si="8"/>
        <v xml:space="preserve">Référent d'équipe - sujétions niveau 2Adjoint technique principal 2° classe </v>
      </c>
      <c r="C528" s="50" t="s">
        <v>238</v>
      </c>
      <c r="D528" s="48" t="s">
        <v>220</v>
      </c>
      <c r="E528" s="45" t="s">
        <v>288</v>
      </c>
      <c r="F528" s="36">
        <v>374</v>
      </c>
      <c r="G528" s="159"/>
    </row>
    <row r="529" spans="1:7" x14ac:dyDescent="0.2">
      <c r="A529" s="51">
        <v>72</v>
      </c>
      <c r="B529" s="56" t="str">
        <f t="shared" si="8"/>
        <v xml:space="preserve">Référent d'équipe - sujétions niveau 2Adjoint technique principal 1° classe </v>
      </c>
      <c r="C529" s="50" t="s">
        <v>238</v>
      </c>
      <c r="D529" s="48" t="s">
        <v>221</v>
      </c>
      <c r="E529" s="45" t="s">
        <v>289</v>
      </c>
      <c r="F529" s="36">
        <v>383</v>
      </c>
      <c r="G529" s="159"/>
    </row>
    <row r="530" spans="1:7" x14ac:dyDescent="0.2">
      <c r="A530" s="51">
        <v>73</v>
      </c>
      <c r="B530" s="56" t="str">
        <f t="shared" si="8"/>
        <v>Référent d'équipe - sujétions niveau 3Agents de maîtrise</v>
      </c>
      <c r="C530" s="50" t="s">
        <v>240</v>
      </c>
      <c r="D530" s="48" t="s">
        <v>217</v>
      </c>
      <c r="E530" s="45" t="s">
        <v>348</v>
      </c>
      <c r="F530" s="36">
        <v>379</v>
      </c>
      <c r="G530" s="159"/>
    </row>
    <row r="531" spans="1:7" x14ac:dyDescent="0.2">
      <c r="A531" s="51">
        <v>73</v>
      </c>
      <c r="B531" s="56" t="str">
        <f t="shared" si="8"/>
        <v>Référent d'équipe - sujétions niveau 3Agents de maîtrise principal</v>
      </c>
      <c r="C531" s="50" t="s">
        <v>240</v>
      </c>
      <c r="D531" s="48" t="s">
        <v>218</v>
      </c>
      <c r="E531" s="45" t="s">
        <v>349</v>
      </c>
      <c r="F531" s="36">
        <v>388</v>
      </c>
      <c r="G531" s="159"/>
    </row>
    <row r="532" spans="1:7" x14ac:dyDescent="0.2">
      <c r="A532" s="51">
        <v>73</v>
      </c>
      <c r="B532" s="56" t="str">
        <f t="shared" si="8"/>
        <v>Référent d'équipe - sujétions niveau 3Adjoint technique</v>
      </c>
      <c r="C532" s="50" t="s">
        <v>240</v>
      </c>
      <c r="D532" s="48" t="s">
        <v>219</v>
      </c>
      <c r="E532" s="45" t="s">
        <v>287</v>
      </c>
      <c r="F532" s="36">
        <v>366</v>
      </c>
      <c r="G532" s="159"/>
    </row>
    <row r="533" spans="1:7" x14ac:dyDescent="0.2">
      <c r="A533" s="51">
        <v>73</v>
      </c>
      <c r="B533" s="56" t="str">
        <f t="shared" si="8"/>
        <v xml:space="preserve">Référent d'équipe - sujétions niveau 3Adjoint technique principal 2° classe </v>
      </c>
      <c r="C533" s="50" t="s">
        <v>240</v>
      </c>
      <c r="D533" s="48" t="s">
        <v>220</v>
      </c>
      <c r="E533" s="45" t="s">
        <v>288</v>
      </c>
      <c r="F533" s="36">
        <v>379</v>
      </c>
      <c r="G533" s="159"/>
    </row>
    <row r="534" spans="1:7" x14ac:dyDescent="0.2">
      <c r="A534" s="51">
        <v>73</v>
      </c>
      <c r="B534" s="56" t="str">
        <f t="shared" si="8"/>
        <v xml:space="preserve">Référent d'équipe - sujétions niveau 3Adjoint technique principal 1° classe </v>
      </c>
      <c r="C534" s="50" t="s">
        <v>240</v>
      </c>
      <c r="D534" s="48" t="s">
        <v>221</v>
      </c>
      <c r="E534" s="45" t="s">
        <v>289</v>
      </c>
      <c r="F534" s="36">
        <v>388</v>
      </c>
      <c r="G534" s="159"/>
    </row>
    <row r="535" spans="1:7" x14ac:dyDescent="0.2">
      <c r="A535" s="51">
        <v>74</v>
      </c>
      <c r="B535" s="56" t="str">
        <f t="shared" si="8"/>
        <v>Référent d'équipe - sujétions niveau 4Agents de maîtrise</v>
      </c>
      <c r="C535" s="50" t="s">
        <v>241</v>
      </c>
      <c r="D535" s="48" t="s">
        <v>217</v>
      </c>
      <c r="E535" s="45" t="s">
        <v>348</v>
      </c>
      <c r="F535" s="36">
        <v>389</v>
      </c>
      <c r="G535" s="159" t="s">
        <v>242</v>
      </c>
    </row>
    <row r="536" spans="1:7" x14ac:dyDescent="0.2">
      <c r="A536" s="51">
        <v>74</v>
      </c>
      <c r="B536" s="56" t="str">
        <f t="shared" si="8"/>
        <v>Référent d'équipe - sujétions niveau 4Agents de maîtrise principal</v>
      </c>
      <c r="C536" s="50" t="s">
        <v>241</v>
      </c>
      <c r="D536" s="48" t="s">
        <v>218</v>
      </c>
      <c r="E536" s="45" t="s">
        <v>349</v>
      </c>
      <c r="F536" s="36">
        <v>398</v>
      </c>
      <c r="G536" s="159"/>
    </row>
    <row r="537" spans="1:7" x14ac:dyDescent="0.2">
      <c r="A537" s="51">
        <v>74</v>
      </c>
      <c r="B537" s="56" t="str">
        <f t="shared" si="8"/>
        <v>Référent d'équipe - sujétions niveau 4Adjoint technique</v>
      </c>
      <c r="C537" s="50" t="s">
        <v>241</v>
      </c>
      <c r="D537" s="48" t="s">
        <v>219</v>
      </c>
      <c r="E537" s="45" t="s">
        <v>287</v>
      </c>
      <c r="F537" s="36">
        <v>376</v>
      </c>
      <c r="G537" s="159"/>
    </row>
    <row r="538" spans="1:7" x14ac:dyDescent="0.2">
      <c r="A538" s="51">
        <v>74</v>
      </c>
      <c r="B538" s="56" t="str">
        <f t="shared" si="8"/>
        <v xml:space="preserve">Référent d'équipe - sujétions niveau 4Adjoint technique principal 2° classe </v>
      </c>
      <c r="C538" s="50" t="s">
        <v>241</v>
      </c>
      <c r="D538" s="48" t="s">
        <v>220</v>
      </c>
      <c r="E538" s="45" t="s">
        <v>288</v>
      </c>
      <c r="F538" s="36">
        <v>389</v>
      </c>
      <c r="G538" s="159"/>
    </row>
    <row r="539" spans="1:7" x14ac:dyDescent="0.2">
      <c r="A539" s="51">
        <v>74</v>
      </c>
      <c r="B539" s="56" t="str">
        <f t="shared" si="8"/>
        <v xml:space="preserve">Référent d'équipe - sujétions niveau 4Adjoint technique principal 1° classe </v>
      </c>
      <c r="C539" s="50" t="s">
        <v>241</v>
      </c>
      <c r="D539" s="48" t="s">
        <v>221</v>
      </c>
      <c r="E539" s="45" t="s">
        <v>289</v>
      </c>
      <c r="F539" s="36">
        <v>398</v>
      </c>
      <c r="G539" s="159"/>
    </row>
    <row r="540" spans="1:7" x14ac:dyDescent="0.2">
      <c r="A540" s="51">
        <v>75</v>
      </c>
      <c r="B540" s="56" t="str">
        <f t="shared" si="8"/>
        <v>Référent d'équipe - sujétions niveau 5Agents de maîtrise</v>
      </c>
      <c r="C540" s="50" t="s">
        <v>243</v>
      </c>
      <c r="D540" s="48" t="s">
        <v>217</v>
      </c>
      <c r="E540" s="45" t="s">
        <v>348</v>
      </c>
      <c r="F540" s="36">
        <v>394</v>
      </c>
      <c r="G540" s="159"/>
    </row>
    <row r="541" spans="1:7" x14ac:dyDescent="0.2">
      <c r="A541" s="51">
        <v>75</v>
      </c>
      <c r="B541" s="56" t="str">
        <f t="shared" si="8"/>
        <v>Référent d'équipe - sujétions niveau 5Agents de maîtrise principal</v>
      </c>
      <c r="C541" s="50" t="s">
        <v>243</v>
      </c>
      <c r="D541" s="48" t="s">
        <v>218</v>
      </c>
      <c r="E541" s="45" t="s">
        <v>349</v>
      </c>
      <c r="F541" s="36">
        <v>403</v>
      </c>
      <c r="G541" s="159"/>
    </row>
    <row r="542" spans="1:7" x14ac:dyDescent="0.2">
      <c r="A542" s="51">
        <v>75</v>
      </c>
      <c r="B542" s="56" t="str">
        <f t="shared" si="8"/>
        <v>Référent d'équipe - sujétions niveau 5Adjoint technique</v>
      </c>
      <c r="C542" s="50" t="s">
        <v>243</v>
      </c>
      <c r="D542" s="48" t="s">
        <v>219</v>
      </c>
      <c r="E542" s="45" t="s">
        <v>287</v>
      </c>
      <c r="F542" s="36">
        <v>381</v>
      </c>
      <c r="G542" s="159"/>
    </row>
    <row r="543" spans="1:7" x14ac:dyDescent="0.2">
      <c r="A543" s="51">
        <v>75</v>
      </c>
      <c r="B543" s="56" t="str">
        <f t="shared" si="8"/>
        <v xml:space="preserve">Référent d'équipe - sujétions niveau 5Adjoint technique principal 2° classe </v>
      </c>
      <c r="C543" s="50" t="s">
        <v>243</v>
      </c>
      <c r="D543" s="48" t="s">
        <v>220</v>
      </c>
      <c r="E543" s="45" t="s">
        <v>288</v>
      </c>
      <c r="F543" s="36">
        <v>394</v>
      </c>
      <c r="G543" s="159"/>
    </row>
    <row r="544" spans="1:7" x14ac:dyDescent="0.2">
      <c r="A544" s="51">
        <v>75</v>
      </c>
      <c r="B544" s="56" t="str">
        <f t="shared" si="8"/>
        <v xml:space="preserve">Référent d'équipe - sujétions niveau 5Adjoint technique principal 1° classe </v>
      </c>
      <c r="C544" s="50" t="s">
        <v>243</v>
      </c>
      <c r="D544" s="48" t="s">
        <v>221</v>
      </c>
      <c r="E544" s="45" t="s">
        <v>289</v>
      </c>
      <c r="F544" s="36">
        <v>403</v>
      </c>
      <c r="G544" s="159"/>
    </row>
    <row r="545" spans="1:7" x14ac:dyDescent="0.2">
      <c r="A545" s="49">
        <v>20</v>
      </c>
      <c r="B545" s="48" t="str">
        <f t="shared" si="8"/>
        <v>Fonctions de catégorie supérieureAdjoint administratif</v>
      </c>
      <c r="C545" s="50" t="s">
        <v>192</v>
      </c>
      <c r="D545" s="48" t="s">
        <v>200</v>
      </c>
      <c r="E545" s="45" t="s">
        <v>283</v>
      </c>
      <c r="F545" s="36">
        <v>445</v>
      </c>
      <c r="G545" s="159"/>
    </row>
    <row r="546" spans="1:7" x14ac:dyDescent="0.2">
      <c r="A546" s="49">
        <v>20</v>
      </c>
      <c r="B546" s="48" t="str">
        <f t="shared" si="8"/>
        <v xml:space="preserve">Fonctions de catégorie supérieureAdjoint administratif Principal 2° classe </v>
      </c>
      <c r="C546" s="50" t="s">
        <v>192</v>
      </c>
      <c r="D546" s="48" t="s">
        <v>201</v>
      </c>
      <c r="E546" s="45" t="s">
        <v>286</v>
      </c>
      <c r="F546" s="36">
        <v>480</v>
      </c>
      <c r="G546" s="159"/>
    </row>
    <row r="547" spans="1:7" x14ac:dyDescent="0.2">
      <c r="A547" s="49">
        <v>20</v>
      </c>
      <c r="B547" s="48" t="str">
        <f t="shared" si="8"/>
        <v xml:space="preserve">Fonctions de catégorie supérieureAdjoint administratif Principal 1° classe </v>
      </c>
      <c r="C547" s="50" t="s">
        <v>192</v>
      </c>
      <c r="D547" s="48" t="s">
        <v>202</v>
      </c>
      <c r="E547" s="45" t="s">
        <v>285</v>
      </c>
      <c r="F547" s="36">
        <v>485</v>
      </c>
      <c r="G547" s="159"/>
    </row>
    <row r="548" spans="1:7" x14ac:dyDescent="0.2">
      <c r="A548" s="49">
        <v>20</v>
      </c>
      <c r="B548" s="48" t="str">
        <f t="shared" si="8"/>
        <v>Fonctions de catégorie supérieureAdjoint patrimoine</v>
      </c>
      <c r="C548" s="50" t="s">
        <v>192</v>
      </c>
      <c r="D548" s="48" t="s">
        <v>203</v>
      </c>
      <c r="E548" s="45" t="s">
        <v>343</v>
      </c>
      <c r="F548" s="36">
        <v>445</v>
      </c>
      <c r="G548" s="159"/>
    </row>
    <row r="549" spans="1:7" x14ac:dyDescent="0.2">
      <c r="A549" s="49">
        <v>20</v>
      </c>
      <c r="B549" s="48" t="str">
        <f t="shared" si="8"/>
        <v xml:space="preserve">Fonctions de catégorie supérieureAdjoint patrimoine principal 2° classe </v>
      </c>
      <c r="C549" s="50" t="s">
        <v>192</v>
      </c>
      <c r="D549" s="48" t="s">
        <v>204</v>
      </c>
      <c r="E549" s="45" t="s">
        <v>344</v>
      </c>
      <c r="F549" s="36">
        <v>480</v>
      </c>
      <c r="G549" s="159"/>
    </row>
    <row r="550" spans="1:7" x14ac:dyDescent="0.2">
      <c r="A550" s="49">
        <v>20</v>
      </c>
      <c r="B550" s="48" t="str">
        <f t="shared" si="8"/>
        <v xml:space="preserve">Fonctions de catégorie supérieureAdjoint patrimoine principal 1° classe </v>
      </c>
      <c r="C550" s="50" t="s">
        <v>192</v>
      </c>
      <c r="D550" s="48" t="s">
        <v>205</v>
      </c>
      <c r="E550" s="45" t="s">
        <v>345</v>
      </c>
      <c r="F550" s="36">
        <v>485</v>
      </c>
      <c r="G550" s="159"/>
    </row>
    <row r="551" spans="1:7" x14ac:dyDescent="0.2">
      <c r="A551" s="49">
        <v>20</v>
      </c>
      <c r="B551" s="48" t="str">
        <f t="shared" si="8"/>
        <v>Fonctions de catégorie supérieureOpérateur APS</v>
      </c>
      <c r="C551" s="50" t="s">
        <v>192</v>
      </c>
      <c r="D551" s="48" t="s">
        <v>206</v>
      </c>
      <c r="E551" s="45" t="s">
        <v>322</v>
      </c>
      <c r="F551" s="36">
        <v>445</v>
      </c>
      <c r="G551" s="159"/>
    </row>
    <row r="552" spans="1:7" x14ac:dyDescent="0.2">
      <c r="A552" s="49">
        <v>20</v>
      </c>
      <c r="B552" s="48" t="str">
        <f t="shared" si="8"/>
        <v>Fonctions de catégorie supérieureOpérateur APS qualifié</v>
      </c>
      <c r="C552" s="50" t="s">
        <v>192</v>
      </c>
      <c r="D552" s="48" t="s">
        <v>207</v>
      </c>
      <c r="E552" s="45" t="s">
        <v>323</v>
      </c>
      <c r="F552" s="36">
        <v>480</v>
      </c>
      <c r="G552" s="159"/>
    </row>
    <row r="553" spans="1:7" x14ac:dyDescent="0.2">
      <c r="A553" s="49">
        <v>20</v>
      </c>
      <c r="B553" s="48" t="str">
        <f t="shared" si="8"/>
        <v>Fonctions de catégorie supérieureOpérateur APS principal</v>
      </c>
      <c r="C553" s="50" t="s">
        <v>192</v>
      </c>
      <c r="D553" s="48" t="s">
        <v>208</v>
      </c>
      <c r="E553" s="45" t="s">
        <v>324</v>
      </c>
      <c r="F553" s="36">
        <v>485</v>
      </c>
      <c r="G553" s="159"/>
    </row>
    <row r="554" spans="1:7" x14ac:dyDescent="0.2">
      <c r="A554" s="49">
        <v>20</v>
      </c>
      <c r="B554" s="48" t="str">
        <f t="shared" si="8"/>
        <v>Fonctions de catégorie supérieureATSEM principal 2° classe</v>
      </c>
      <c r="C554" s="50" t="s">
        <v>192</v>
      </c>
      <c r="D554" s="48" t="s">
        <v>209</v>
      </c>
      <c r="E554" t="s">
        <v>404</v>
      </c>
      <c r="F554" s="36">
        <v>480</v>
      </c>
      <c r="G554" s="159"/>
    </row>
    <row r="555" spans="1:7" x14ac:dyDescent="0.2">
      <c r="A555" s="49">
        <v>20</v>
      </c>
      <c r="B555" s="48" t="str">
        <f t="shared" si="8"/>
        <v>Fonctions de catégorie supérieureATSEM principal 1° classe</v>
      </c>
      <c r="C555" s="50" t="s">
        <v>192</v>
      </c>
      <c r="D555" s="48" t="s">
        <v>210</v>
      </c>
      <c r="E555" t="s">
        <v>405</v>
      </c>
      <c r="F555" s="36">
        <v>485</v>
      </c>
      <c r="G555" s="159"/>
    </row>
    <row r="556" spans="1:7" x14ac:dyDescent="0.2">
      <c r="A556" s="49">
        <v>20</v>
      </c>
      <c r="B556" s="48" t="str">
        <f t="shared" si="8"/>
        <v>Fonctions de catégorie supérieureAgent social</v>
      </c>
      <c r="C556" s="50" t="s">
        <v>192</v>
      </c>
      <c r="D556" s="48" t="s">
        <v>211</v>
      </c>
      <c r="E556" s="45" t="s">
        <v>401</v>
      </c>
      <c r="F556" s="36">
        <v>445</v>
      </c>
      <c r="G556" s="159"/>
    </row>
    <row r="557" spans="1:7" x14ac:dyDescent="0.2">
      <c r="A557" s="49">
        <v>20</v>
      </c>
      <c r="B557" s="48" t="str">
        <f t="shared" si="8"/>
        <v>Fonctions de catégorie supérieureAgent social principal 2° classe</v>
      </c>
      <c r="C557" s="50" t="s">
        <v>192</v>
      </c>
      <c r="D557" s="48" t="s">
        <v>212</v>
      </c>
      <c r="E557" s="45" t="s">
        <v>402</v>
      </c>
      <c r="F557" s="36">
        <v>480</v>
      </c>
      <c r="G557" s="159"/>
    </row>
    <row r="558" spans="1:7" x14ac:dyDescent="0.2">
      <c r="A558" s="49">
        <v>20</v>
      </c>
      <c r="B558" s="48" t="str">
        <f t="shared" si="8"/>
        <v>Fonctions de catégorie supérieureAgent social principal 1° classe</v>
      </c>
      <c r="C558" s="50" t="s">
        <v>192</v>
      </c>
      <c r="D558" s="48" t="s">
        <v>213</v>
      </c>
      <c r="E558" t="s">
        <v>403</v>
      </c>
      <c r="F558" s="36">
        <v>485</v>
      </c>
      <c r="G558" s="159"/>
    </row>
    <row r="559" spans="1:7" x14ac:dyDescent="0.2">
      <c r="A559" s="49">
        <v>20</v>
      </c>
      <c r="B559" s="48" t="str">
        <f t="shared" si="8"/>
        <v>Fonctions de catégorie supérieureAdjoint animation</v>
      </c>
      <c r="C559" s="50" t="s">
        <v>192</v>
      </c>
      <c r="D559" s="48" t="s">
        <v>214</v>
      </c>
      <c r="E559" s="45" t="s">
        <v>311</v>
      </c>
      <c r="F559" s="36">
        <v>445</v>
      </c>
      <c r="G559" s="159"/>
    </row>
    <row r="560" spans="1:7" x14ac:dyDescent="0.2">
      <c r="A560" s="49">
        <v>20</v>
      </c>
      <c r="B560" s="48" t="str">
        <f t="shared" ref="B560:B623" si="9">C560&amp;E560</f>
        <v xml:space="preserve">Fonctions de catégorie supérieureAdjoint animation principal 2° classe </v>
      </c>
      <c r="C560" s="50" t="s">
        <v>192</v>
      </c>
      <c r="D560" s="48" t="s">
        <v>215</v>
      </c>
      <c r="E560" s="45" t="s">
        <v>312</v>
      </c>
      <c r="F560" s="36">
        <v>480</v>
      </c>
      <c r="G560" s="159"/>
    </row>
    <row r="561" spans="1:7" x14ac:dyDescent="0.2">
      <c r="A561" s="49">
        <v>20</v>
      </c>
      <c r="B561" s="48" t="str">
        <f t="shared" si="9"/>
        <v xml:space="preserve">Fonctions de catégorie supérieureAdjoint animation principal 1° classe </v>
      </c>
      <c r="C561" s="50" t="s">
        <v>192</v>
      </c>
      <c r="D561" s="48" t="s">
        <v>216</v>
      </c>
      <c r="E561" s="45" t="s">
        <v>313</v>
      </c>
      <c r="F561" s="36">
        <v>485</v>
      </c>
      <c r="G561" s="159"/>
    </row>
    <row r="562" spans="1:7" x14ac:dyDescent="0.2">
      <c r="A562" s="49">
        <v>20</v>
      </c>
      <c r="B562" s="48" t="str">
        <f t="shared" si="9"/>
        <v>Fonctions de catégorie supérieureAgents de maîtrise</v>
      </c>
      <c r="C562" s="53" t="s">
        <v>192</v>
      </c>
      <c r="D562" s="48" t="s">
        <v>217</v>
      </c>
      <c r="E562" s="45" t="s">
        <v>348</v>
      </c>
      <c r="F562" s="36">
        <v>460</v>
      </c>
      <c r="G562" s="159"/>
    </row>
    <row r="563" spans="1:7" x14ac:dyDescent="0.2">
      <c r="A563" s="49">
        <v>20</v>
      </c>
      <c r="B563" s="48" t="str">
        <f t="shared" si="9"/>
        <v>Fonctions de catégorie supérieureAgents de maîtrise principal</v>
      </c>
      <c r="C563" s="53" t="s">
        <v>192</v>
      </c>
      <c r="D563" s="48" t="s">
        <v>218</v>
      </c>
      <c r="E563" s="45" t="s">
        <v>349</v>
      </c>
      <c r="F563" s="36">
        <v>470</v>
      </c>
      <c r="G563" s="159"/>
    </row>
    <row r="564" spans="1:7" x14ac:dyDescent="0.2">
      <c r="A564" s="49">
        <v>20</v>
      </c>
      <c r="B564" s="48" t="str">
        <f t="shared" si="9"/>
        <v>Fonctions de catégorie supérieureAdjoint technique</v>
      </c>
      <c r="C564" s="50" t="s">
        <v>192</v>
      </c>
      <c r="D564" s="48" t="s">
        <v>219</v>
      </c>
      <c r="E564" s="45" t="s">
        <v>287</v>
      </c>
      <c r="F564" s="36">
        <v>440</v>
      </c>
      <c r="G564" s="159"/>
    </row>
    <row r="565" spans="1:7" x14ac:dyDescent="0.2">
      <c r="A565" s="49">
        <v>20</v>
      </c>
      <c r="B565" s="48" t="str">
        <f t="shared" si="9"/>
        <v xml:space="preserve">Fonctions de catégorie supérieureAdjoint technique principal 2° classe </v>
      </c>
      <c r="C565" s="50" t="s">
        <v>192</v>
      </c>
      <c r="D565" s="48" t="s">
        <v>220</v>
      </c>
      <c r="E565" s="45" t="s">
        <v>288</v>
      </c>
      <c r="F565" s="36">
        <v>460</v>
      </c>
      <c r="G565" s="159"/>
    </row>
    <row r="566" spans="1:7" x14ac:dyDescent="0.2">
      <c r="A566" s="49">
        <v>20</v>
      </c>
      <c r="B566" s="48" t="str">
        <f t="shared" si="9"/>
        <v xml:space="preserve">Fonctions de catégorie supérieureAdjoint technique principal 1° classe </v>
      </c>
      <c r="C566" s="50" t="s">
        <v>192</v>
      </c>
      <c r="D566" s="48" t="s">
        <v>221</v>
      </c>
      <c r="E566" s="45" t="s">
        <v>289</v>
      </c>
      <c r="F566" s="36">
        <v>470</v>
      </c>
      <c r="G566" s="159"/>
    </row>
    <row r="567" spans="1:7" ht="25.5" x14ac:dyDescent="0.2">
      <c r="A567" s="49">
        <v>28</v>
      </c>
      <c r="B567" s="48" t="str">
        <f t="shared" si="9"/>
        <v>Fonctions de catégorie supérieure expertise informatiqueAdjoint administratif</v>
      </c>
      <c r="C567" s="50" t="s">
        <v>193</v>
      </c>
      <c r="D567" s="48" t="s">
        <v>200</v>
      </c>
      <c r="E567" s="45" t="s">
        <v>283</v>
      </c>
      <c r="F567" s="36">
        <v>795</v>
      </c>
      <c r="G567" s="159"/>
    </row>
    <row r="568" spans="1:7" ht="25.5" x14ac:dyDescent="0.2">
      <c r="A568" s="49">
        <v>28</v>
      </c>
      <c r="B568" s="48" t="str">
        <f t="shared" si="9"/>
        <v xml:space="preserve">Fonctions de catégorie supérieure expertise informatiqueAdjoint administratif Principal 2° classe </v>
      </c>
      <c r="C568" s="50" t="s">
        <v>193</v>
      </c>
      <c r="D568" s="48" t="s">
        <v>201</v>
      </c>
      <c r="E568" s="45" t="s">
        <v>286</v>
      </c>
      <c r="F568" s="36">
        <v>830</v>
      </c>
      <c r="G568" s="159"/>
    </row>
    <row r="569" spans="1:7" ht="25.5" x14ac:dyDescent="0.2">
      <c r="A569" s="49">
        <v>28</v>
      </c>
      <c r="B569" s="48" t="str">
        <f t="shared" si="9"/>
        <v xml:space="preserve">Fonctions de catégorie supérieure expertise informatiqueAdjoint administratif Principal 1° classe </v>
      </c>
      <c r="C569" s="50" t="s">
        <v>193</v>
      </c>
      <c r="D569" s="48" t="s">
        <v>202</v>
      </c>
      <c r="E569" s="45" t="s">
        <v>285</v>
      </c>
      <c r="F569" s="36">
        <v>835</v>
      </c>
      <c r="G569" s="159"/>
    </row>
    <row r="570" spans="1:7" ht="25.5" x14ac:dyDescent="0.2">
      <c r="A570" s="49">
        <v>28</v>
      </c>
      <c r="B570" s="48" t="str">
        <f t="shared" si="9"/>
        <v>Fonctions de catégorie supérieure expertise informatiqueAgents de maîtrise</v>
      </c>
      <c r="C570" s="53" t="s">
        <v>193</v>
      </c>
      <c r="D570" s="48" t="s">
        <v>217</v>
      </c>
      <c r="E570" s="45" t="s">
        <v>348</v>
      </c>
      <c r="F570" s="36">
        <v>810</v>
      </c>
      <c r="G570" s="159"/>
    </row>
    <row r="571" spans="1:7" ht="25.5" x14ac:dyDescent="0.2">
      <c r="A571" s="49">
        <v>28</v>
      </c>
      <c r="B571" s="48" t="str">
        <f t="shared" si="9"/>
        <v>Fonctions de catégorie supérieure expertise informatiqueAgents de maîtrise principal</v>
      </c>
      <c r="C571" s="53" t="s">
        <v>193</v>
      </c>
      <c r="D571" s="48" t="s">
        <v>218</v>
      </c>
      <c r="E571" s="45" t="s">
        <v>349</v>
      </c>
      <c r="F571" s="36">
        <v>825</v>
      </c>
      <c r="G571" s="159"/>
    </row>
    <row r="572" spans="1:7" ht="25.5" x14ac:dyDescent="0.2">
      <c r="A572" s="49">
        <v>28</v>
      </c>
      <c r="B572" s="48" t="str">
        <f t="shared" si="9"/>
        <v>Fonctions de catégorie supérieure expertise informatiqueAdjoint technique</v>
      </c>
      <c r="C572" s="53" t="s">
        <v>193</v>
      </c>
      <c r="D572" s="48" t="s">
        <v>219</v>
      </c>
      <c r="E572" s="45" t="s">
        <v>287</v>
      </c>
      <c r="F572" s="36">
        <v>790</v>
      </c>
      <c r="G572" s="159"/>
    </row>
    <row r="573" spans="1:7" ht="25.5" x14ac:dyDescent="0.2">
      <c r="A573" s="49">
        <v>28</v>
      </c>
      <c r="B573" s="48" t="str">
        <f t="shared" si="9"/>
        <v xml:space="preserve">Fonctions de catégorie supérieure expertise informatiqueAdjoint technique principal 2° classe </v>
      </c>
      <c r="C573" s="53" t="s">
        <v>193</v>
      </c>
      <c r="D573" s="48" t="s">
        <v>220</v>
      </c>
      <c r="E573" s="45" t="s">
        <v>288</v>
      </c>
      <c r="F573" s="36">
        <v>810</v>
      </c>
      <c r="G573" s="159"/>
    </row>
    <row r="574" spans="1:7" ht="25.5" x14ac:dyDescent="0.2">
      <c r="A574" s="49">
        <v>28</v>
      </c>
      <c r="B574" s="48" t="str">
        <f t="shared" si="9"/>
        <v xml:space="preserve">Fonctions de catégorie supérieure expertise informatiqueAdjoint technique principal 1° classe </v>
      </c>
      <c r="C574" s="53" t="s">
        <v>193</v>
      </c>
      <c r="D574" s="48" t="s">
        <v>221</v>
      </c>
      <c r="E574" s="45" t="s">
        <v>289</v>
      </c>
      <c r="F574" s="36">
        <v>820</v>
      </c>
      <c r="G574" s="159"/>
    </row>
    <row r="575" spans="1:7" x14ac:dyDescent="0.2">
      <c r="A575" s="51" t="s">
        <v>82</v>
      </c>
      <c r="B575" s="56" t="str">
        <f t="shared" si="9"/>
        <v>Non encadrant.eAdjoint administratif</v>
      </c>
      <c r="C575" s="50" t="s">
        <v>154</v>
      </c>
      <c r="D575" s="48" t="s">
        <v>200</v>
      </c>
      <c r="E575" s="45" t="s">
        <v>283</v>
      </c>
      <c r="F575" s="36">
        <v>307</v>
      </c>
      <c r="G575" s="103"/>
    </row>
    <row r="576" spans="1:7" x14ac:dyDescent="0.2">
      <c r="A576" s="51" t="s">
        <v>82</v>
      </c>
      <c r="B576" s="56" t="str">
        <f t="shared" si="9"/>
        <v xml:space="preserve">Non encadrant.eAdjoint administratif Principal 2° classe </v>
      </c>
      <c r="C576" s="50" t="s">
        <v>154</v>
      </c>
      <c r="D576" s="48" t="s">
        <v>201</v>
      </c>
      <c r="E576" s="45" t="s">
        <v>286</v>
      </c>
      <c r="F576" s="36">
        <v>341</v>
      </c>
      <c r="G576" s="103"/>
    </row>
    <row r="577" spans="1:7" x14ac:dyDescent="0.2">
      <c r="A577" s="51" t="s">
        <v>82</v>
      </c>
      <c r="B577" s="56" t="str">
        <f t="shared" si="9"/>
        <v xml:space="preserve">Non encadrant.eAdjoint administratif Principal 1° classe </v>
      </c>
      <c r="C577" s="50" t="s">
        <v>154</v>
      </c>
      <c r="D577" s="48" t="s">
        <v>202</v>
      </c>
      <c r="E577" s="45" t="s">
        <v>285</v>
      </c>
      <c r="F577" s="36">
        <v>344</v>
      </c>
      <c r="G577" s="103"/>
    </row>
    <row r="578" spans="1:7" x14ac:dyDescent="0.2">
      <c r="A578" s="51" t="s">
        <v>82</v>
      </c>
      <c r="B578" s="56" t="str">
        <f t="shared" si="9"/>
        <v>Non encadrant.eAdjoint patrimoine</v>
      </c>
      <c r="C578" s="50" t="s">
        <v>154</v>
      </c>
      <c r="D578" s="48" t="s">
        <v>203</v>
      </c>
      <c r="E578" s="45" t="s">
        <v>343</v>
      </c>
      <c r="F578" s="36">
        <v>307</v>
      </c>
      <c r="G578" s="103"/>
    </row>
    <row r="579" spans="1:7" x14ac:dyDescent="0.2">
      <c r="A579" s="51" t="s">
        <v>82</v>
      </c>
      <c r="B579" s="56" t="str">
        <f t="shared" si="9"/>
        <v xml:space="preserve">Non encadrant.eAdjoint patrimoine principal 2° classe </v>
      </c>
      <c r="C579" s="50" t="s">
        <v>154</v>
      </c>
      <c r="D579" s="48" t="s">
        <v>204</v>
      </c>
      <c r="E579" s="45" t="s">
        <v>344</v>
      </c>
      <c r="F579" s="36">
        <v>341</v>
      </c>
      <c r="G579" s="103"/>
    </row>
    <row r="580" spans="1:7" x14ac:dyDescent="0.2">
      <c r="A580" s="51" t="s">
        <v>82</v>
      </c>
      <c r="B580" s="56" t="str">
        <f t="shared" si="9"/>
        <v xml:space="preserve">Non encadrant.eAdjoint patrimoine principal 1° classe </v>
      </c>
      <c r="C580" s="50" t="s">
        <v>154</v>
      </c>
      <c r="D580" s="48" t="s">
        <v>205</v>
      </c>
      <c r="E580" s="45" t="s">
        <v>345</v>
      </c>
      <c r="F580" s="36">
        <v>344</v>
      </c>
      <c r="G580" s="103"/>
    </row>
    <row r="581" spans="1:7" x14ac:dyDescent="0.2">
      <c r="A581" s="51" t="s">
        <v>82</v>
      </c>
      <c r="B581" s="56" t="str">
        <f t="shared" si="9"/>
        <v>Non encadrant.eOpérateur APS</v>
      </c>
      <c r="C581" s="50" t="s">
        <v>154</v>
      </c>
      <c r="D581" s="48" t="s">
        <v>206</v>
      </c>
      <c r="E581" s="45" t="s">
        <v>322</v>
      </c>
      <c r="F581" s="36">
        <v>307</v>
      </c>
      <c r="G581" s="103"/>
    </row>
    <row r="582" spans="1:7" x14ac:dyDescent="0.2">
      <c r="A582" s="51" t="s">
        <v>82</v>
      </c>
      <c r="B582" s="56" t="str">
        <f t="shared" si="9"/>
        <v>Non encadrant.eOpérateur APS qualifié</v>
      </c>
      <c r="C582" s="50" t="s">
        <v>154</v>
      </c>
      <c r="D582" s="48" t="s">
        <v>207</v>
      </c>
      <c r="E582" s="45" t="s">
        <v>323</v>
      </c>
      <c r="F582" s="36">
        <v>341</v>
      </c>
      <c r="G582" s="103"/>
    </row>
    <row r="583" spans="1:7" x14ac:dyDescent="0.2">
      <c r="A583" s="51" t="s">
        <v>82</v>
      </c>
      <c r="B583" s="56" t="str">
        <f t="shared" si="9"/>
        <v>Non encadrant.eOpérateur APS principal</v>
      </c>
      <c r="C583" s="50" t="s">
        <v>154</v>
      </c>
      <c r="D583" s="48" t="s">
        <v>208</v>
      </c>
      <c r="E583" s="45" t="s">
        <v>324</v>
      </c>
      <c r="F583" s="36">
        <v>344</v>
      </c>
      <c r="G583" s="103"/>
    </row>
    <row r="584" spans="1:7" x14ac:dyDescent="0.2">
      <c r="A584" s="51" t="s">
        <v>82</v>
      </c>
      <c r="B584" s="56" t="str">
        <f t="shared" si="9"/>
        <v>Non encadrant.eATSEM principal 2° classe</v>
      </c>
      <c r="C584" s="50" t="s">
        <v>154</v>
      </c>
      <c r="D584" s="48" t="s">
        <v>209</v>
      </c>
      <c r="E584" t="s">
        <v>404</v>
      </c>
      <c r="F584" s="36">
        <v>341</v>
      </c>
      <c r="G584" s="103"/>
    </row>
    <row r="585" spans="1:7" x14ac:dyDescent="0.2">
      <c r="A585" s="51" t="s">
        <v>82</v>
      </c>
      <c r="B585" s="56" t="str">
        <f t="shared" si="9"/>
        <v>Non encadrant.eATSEM principal 1° classe</v>
      </c>
      <c r="C585" s="50" t="s">
        <v>154</v>
      </c>
      <c r="D585" s="48" t="s">
        <v>210</v>
      </c>
      <c r="E585" t="s">
        <v>405</v>
      </c>
      <c r="F585" s="36">
        <v>344</v>
      </c>
      <c r="G585" s="103"/>
    </row>
    <row r="586" spans="1:7" x14ac:dyDescent="0.2">
      <c r="A586" s="51" t="s">
        <v>82</v>
      </c>
      <c r="B586" s="56" t="str">
        <f t="shared" si="9"/>
        <v>Non encadrant.eAgent social</v>
      </c>
      <c r="C586" s="50" t="s">
        <v>154</v>
      </c>
      <c r="D586" s="48" t="s">
        <v>211</v>
      </c>
      <c r="E586" s="45" t="s">
        <v>401</v>
      </c>
      <c r="F586" s="36">
        <v>307</v>
      </c>
      <c r="G586" s="103"/>
    </row>
    <row r="587" spans="1:7" x14ac:dyDescent="0.2">
      <c r="A587" s="51" t="s">
        <v>82</v>
      </c>
      <c r="B587" s="56" t="str">
        <f t="shared" si="9"/>
        <v>Non encadrant.eAgent social principal 2° classe</v>
      </c>
      <c r="C587" s="50" t="s">
        <v>154</v>
      </c>
      <c r="D587" s="48" t="s">
        <v>212</v>
      </c>
      <c r="E587" s="45" t="s">
        <v>402</v>
      </c>
      <c r="F587" s="36">
        <v>341</v>
      </c>
      <c r="G587" s="103"/>
    </row>
    <row r="588" spans="1:7" x14ac:dyDescent="0.2">
      <c r="A588" s="51" t="s">
        <v>82</v>
      </c>
      <c r="B588" s="56" t="str">
        <f t="shared" si="9"/>
        <v>Non encadrant.eAgent social principal 1° classe</v>
      </c>
      <c r="C588" s="50" t="s">
        <v>154</v>
      </c>
      <c r="D588" s="48" t="s">
        <v>213</v>
      </c>
      <c r="E588" t="s">
        <v>403</v>
      </c>
      <c r="F588" s="36">
        <v>344</v>
      </c>
      <c r="G588" s="103"/>
    </row>
    <row r="589" spans="1:7" x14ac:dyDescent="0.2">
      <c r="A589" s="51" t="s">
        <v>82</v>
      </c>
      <c r="B589" s="56" t="str">
        <f t="shared" si="9"/>
        <v>Non encadrant.eAux. puér Pal 2Cl (anc)</v>
      </c>
      <c r="C589" s="50" t="s">
        <v>154</v>
      </c>
      <c r="D589" s="48">
        <v>5608</v>
      </c>
      <c r="E589" s="45" t="s">
        <v>244</v>
      </c>
      <c r="F589" s="36">
        <v>341</v>
      </c>
      <c r="G589" s="103"/>
    </row>
    <row r="590" spans="1:7" x14ac:dyDescent="0.2">
      <c r="A590" s="51" t="s">
        <v>82</v>
      </c>
      <c r="B590" s="56" t="str">
        <f t="shared" si="9"/>
        <v>Non encadrant.eAux. puér Pal 1Cl (anc)</v>
      </c>
      <c r="C590" s="50" t="s">
        <v>154</v>
      </c>
      <c r="D590" s="48">
        <v>5610</v>
      </c>
      <c r="E590" s="45" t="s">
        <v>245</v>
      </c>
      <c r="F590" s="36">
        <v>344</v>
      </c>
      <c r="G590" s="103"/>
    </row>
    <row r="591" spans="1:7" x14ac:dyDescent="0.2">
      <c r="A591" s="51" t="s">
        <v>82</v>
      </c>
      <c r="B591" s="56" t="str">
        <f t="shared" si="9"/>
        <v>Non encadrant.eAuxiliaire soins Pal 2Cl</v>
      </c>
      <c r="C591" s="50" t="s">
        <v>154</v>
      </c>
      <c r="D591" s="48">
        <v>5658</v>
      </c>
      <c r="E591" s="45" t="s">
        <v>246</v>
      </c>
      <c r="F591" s="36">
        <v>341</v>
      </c>
      <c r="G591" s="103"/>
    </row>
    <row r="592" spans="1:7" x14ac:dyDescent="0.2">
      <c r="A592" s="51" t="s">
        <v>82</v>
      </c>
      <c r="B592" s="56" t="str">
        <f t="shared" si="9"/>
        <v>Non encadrant.eAuxiliaire soins Pal 1Cl</v>
      </c>
      <c r="C592" s="50" t="s">
        <v>154</v>
      </c>
      <c r="D592" s="48">
        <v>5660</v>
      </c>
      <c r="E592" s="45" t="s">
        <v>247</v>
      </c>
      <c r="F592" s="36">
        <v>344</v>
      </c>
      <c r="G592" s="103"/>
    </row>
    <row r="593" spans="1:7" x14ac:dyDescent="0.2">
      <c r="A593" s="51" t="s">
        <v>82</v>
      </c>
      <c r="B593" s="56" t="str">
        <f t="shared" si="9"/>
        <v>Non encadrant.eAdjoint animation</v>
      </c>
      <c r="C593" s="50" t="s">
        <v>154</v>
      </c>
      <c r="D593" s="48" t="s">
        <v>214</v>
      </c>
      <c r="E593" s="45" t="s">
        <v>311</v>
      </c>
      <c r="F593" s="36">
        <v>307</v>
      </c>
      <c r="G593" s="103"/>
    </row>
    <row r="594" spans="1:7" x14ac:dyDescent="0.2">
      <c r="A594" s="51" t="s">
        <v>82</v>
      </c>
      <c r="B594" s="56" t="str">
        <f t="shared" si="9"/>
        <v xml:space="preserve">Non encadrant.eAdjoint animation principal 2° classe </v>
      </c>
      <c r="C594" s="50" t="s">
        <v>154</v>
      </c>
      <c r="D594" s="48" t="s">
        <v>215</v>
      </c>
      <c r="E594" s="45" t="s">
        <v>312</v>
      </c>
      <c r="F594" s="36">
        <v>341</v>
      </c>
      <c r="G594" s="103"/>
    </row>
    <row r="595" spans="1:7" x14ac:dyDescent="0.2">
      <c r="A595" s="51" t="s">
        <v>82</v>
      </c>
      <c r="B595" s="56" t="str">
        <f t="shared" si="9"/>
        <v xml:space="preserve">Non encadrant.eAdjoint animation principal 1° classe </v>
      </c>
      <c r="C595" s="50" t="s">
        <v>154</v>
      </c>
      <c r="D595" s="48" t="s">
        <v>216</v>
      </c>
      <c r="E595" s="45" t="s">
        <v>313</v>
      </c>
      <c r="F595" s="36">
        <v>344</v>
      </c>
      <c r="G595" s="103"/>
    </row>
    <row r="596" spans="1:7" x14ac:dyDescent="0.2">
      <c r="A596" s="51" t="s">
        <v>82</v>
      </c>
      <c r="B596" s="56" t="str">
        <f t="shared" si="9"/>
        <v>Non encadrant.eAgents de maîtrise</v>
      </c>
      <c r="C596" s="50" t="s">
        <v>154</v>
      </c>
      <c r="D596" s="48" t="s">
        <v>217</v>
      </c>
      <c r="E596" s="45" t="s">
        <v>348</v>
      </c>
      <c r="F596" s="36">
        <v>319</v>
      </c>
      <c r="G596" s="103"/>
    </row>
    <row r="597" spans="1:7" x14ac:dyDescent="0.2">
      <c r="A597" s="51" t="s">
        <v>82</v>
      </c>
      <c r="B597" s="56" t="str">
        <f t="shared" si="9"/>
        <v>Non encadrant.eAgents de maîtrise principal</v>
      </c>
      <c r="C597" s="50" t="s">
        <v>154</v>
      </c>
      <c r="D597" s="48" t="s">
        <v>218</v>
      </c>
      <c r="E597" s="45" t="s">
        <v>349</v>
      </c>
      <c r="F597" s="36">
        <v>326</v>
      </c>
      <c r="G597" s="103"/>
    </row>
    <row r="598" spans="1:7" x14ac:dyDescent="0.2">
      <c r="A598" s="51" t="s">
        <v>82</v>
      </c>
      <c r="B598" s="56" t="str">
        <f t="shared" si="9"/>
        <v>Non encadrant.eAdjoint technique</v>
      </c>
      <c r="C598" s="50" t="s">
        <v>154</v>
      </c>
      <c r="D598" s="48" t="s">
        <v>219</v>
      </c>
      <c r="E598" s="45" t="s">
        <v>287</v>
      </c>
      <c r="F598" s="36">
        <v>306</v>
      </c>
      <c r="G598" s="103"/>
    </row>
    <row r="599" spans="1:7" x14ac:dyDescent="0.2">
      <c r="A599" s="51" t="s">
        <v>82</v>
      </c>
      <c r="B599" s="56" t="str">
        <f t="shared" si="9"/>
        <v xml:space="preserve">Non encadrant.eAdjoint technique principal 2° classe </v>
      </c>
      <c r="C599" s="50" t="s">
        <v>154</v>
      </c>
      <c r="D599" s="48" t="s">
        <v>220</v>
      </c>
      <c r="E599" s="45" t="s">
        <v>288</v>
      </c>
      <c r="F599" s="36">
        <v>319</v>
      </c>
      <c r="G599" s="103"/>
    </row>
    <row r="600" spans="1:7" x14ac:dyDescent="0.2">
      <c r="A600" s="51" t="s">
        <v>82</v>
      </c>
      <c r="B600" s="56" t="str">
        <f t="shared" si="9"/>
        <v xml:space="preserve">Non encadrant.eAdjoint technique principal 1° classe </v>
      </c>
      <c r="C600" s="50" t="s">
        <v>154</v>
      </c>
      <c r="D600" s="48" t="s">
        <v>221</v>
      </c>
      <c r="E600" s="45" t="s">
        <v>289</v>
      </c>
      <c r="F600" s="36">
        <v>326</v>
      </c>
      <c r="G600" s="103"/>
    </row>
    <row r="601" spans="1:7" x14ac:dyDescent="0.2">
      <c r="A601" s="49">
        <v>22</v>
      </c>
      <c r="B601" s="48" t="str">
        <f t="shared" si="9"/>
        <v>Sujétion exhumationAgents de maîtrise</v>
      </c>
      <c r="C601" s="50" t="s">
        <v>248</v>
      </c>
      <c r="D601" s="48" t="s">
        <v>217</v>
      </c>
      <c r="E601" s="45" t="s">
        <v>348</v>
      </c>
      <c r="F601" s="36">
        <v>519</v>
      </c>
      <c r="G601" s="159" t="s">
        <v>249</v>
      </c>
    </row>
    <row r="602" spans="1:7" x14ac:dyDescent="0.2">
      <c r="A602" s="49">
        <v>22</v>
      </c>
      <c r="B602" s="48" t="str">
        <f t="shared" si="9"/>
        <v>Sujétion exhumationAgents de maîtrise principal</v>
      </c>
      <c r="C602" s="50" t="s">
        <v>248</v>
      </c>
      <c r="D602" s="48" t="s">
        <v>218</v>
      </c>
      <c r="E602" s="45" t="s">
        <v>349</v>
      </c>
      <c r="F602" s="36">
        <v>526</v>
      </c>
      <c r="G602" s="159"/>
    </row>
    <row r="603" spans="1:7" x14ac:dyDescent="0.2">
      <c r="A603" s="49">
        <v>22</v>
      </c>
      <c r="B603" s="48" t="str">
        <f t="shared" si="9"/>
        <v>Sujétion exhumationAdjoint technique</v>
      </c>
      <c r="C603" s="50" t="s">
        <v>248</v>
      </c>
      <c r="D603" s="48" t="s">
        <v>219</v>
      </c>
      <c r="E603" s="45" t="s">
        <v>287</v>
      </c>
      <c r="F603" s="36">
        <v>506</v>
      </c>
      <c r="G603" s="159"/>
    </row>
    <row r="604" spans="1:7" x14ac:dyDescent="0.2">
      <c r="A604" s="49">
        <v>22</v>
      </c>
      <c r="B604" s="48" t="str">
        <f t="shared" si="9"/>
        <v xml:space="preserve">Sujétion exhumationAdjoint technique principal 2° classe </v>
      </c>
      <c r="C604" s="50" t="s">
        <v>248</v>
      </c>
      <c r="D604" s="48" t="s">
        <v>220</v>
      </c>
      <c r="E604" s="45" t="s">
        <v>288</v>
      </c>
      <c r="F604" s="36">
        <v>519</v>
      </c>
      <c r="G604" s="159"/>
    </row>
    <row r="605" spans="1:7" x14ac:dyDescent="0.2">
      <c r="A605" s="49">
        <v>22</v>
      </c>
      <c r="B605" s="48" t="str">
        <f t="shared" si="9"/>
        <v xml:space="preserve">Sujétion exhumationAdjoint technique principal 1° classe </v>
      </c>
      <c r="C605" s="50" t="s">
        <v>248</v>
      </c>
      <c r="D605" s="48" t="s">
        <v>221</v>
      </c>
      <c r="E605" s="45" t="s">
        <v>289</v>
      </c>
      <c r="F605" s="36">
        <v>526</v>
      </c>
      <c r="G605" s="159"/>
    </row>
    <row r="606" spans="1:7" x14ac:dyDescent="0.2">
      <c r="A606" s="49">
        <v>23</v>
      </c>
      <c r="B606" s="48" t="str">
        <f t="shared" si="9"/>
        <v>Sujétions niveau 1Agents de maîtrise</v>
      </c>
      <c r="C606" s="50" t="s">
        <v>250</v>
      </c>
      <c r="D606" s="48" t="s">
        <v>217</v>
      </c>
      <c r="E606" s="45" t="s">
        <v>348</v>
      </c>
      <c r="F606" s="36">
        <v>329</v>
      </c>
      <c r="G606" s="159" t="s">
        <v>251</v>
      </c>
    </row>
    <row r="607" spans="1:7" x14ac:dyDescent="0.2">
      <c r="A607" s="49">
        <v>23</v>
      </c>
      <c r="B607" s="48" t="str">
        <f t="shared" si="9"/>
        <v>Sujétions niveau 1Agents de maîtrise principal</v>
      </c>
      <c r="C607" s="50" t="s">
        <v>250</v>
      </c>
      <c r="D607" s="48" t="s">
        <v>218</v>
      </c>
      <c r="E607" s="45" t="s">
        <v>349</v>
      </c>
      <c r="F607" s="36">
        <v>336</v>
      </c>
      <c r="G607" s="159"/>
    </row>
    <row r="608" spans="1:7" x14ac:dyDescent="0.2">
      <c r="A608" s="49">
        <v>23</v>
      </c>
      <c r="B608" s="48" t="str">
        <f t="shared" si="9"/>
        <v>Sujétions niveau 1Adjoint technique</v>
      </c>
      <c r="C608" s="50" t="s">
        <v>250</v>
      </c>
      <c r="D608" s="48" t="s">
        <v>219</v>
      </c>
      <c r="E608" s="45" t="s">
        <v>287</v>
      </c>
      <c r="F608" s="36">
        <v>316</v>
      </c>
      <c r="G608" s="159"/>
    </row>
    <row r="609" spans="1:7" x14ac:dyDescent="0.2">
      <c r="A609" s="49">
        <v>23</v>
      </c>
      <c r="B609" s="48" t="str">
        <f t="shared" si="9"/>
        <v xml:space="preserve">Sujétions niveau 1Adjoint technique principal 2° classe </v>
      </c>
      <c r="C609" s="50" t="s">
        <v>250</v>
      </c>
      <c r="D609" s="48" t="s">
        <v>220</v>
      </c>
      <c r="E609" s="45" t="s">
        <v>288</v>
      </c>
      <c r="F609" s="36">
        <v>329</v>
      </c>
      <c r="G609" s="159"/>
    </row>
    <row r="610" spans="1:7" x14ac:dyDescent="0.2">
      <c r="A610" s="49">
        <v>23</v>
      </c>
      <c r="B610" s="48" t="str">
        <f t="shared" si="9"/>
        <v xml:space="preserve">Sujétions niveau 1Adjoint technique principal 1° classe </v>
      </c>
      <c r="C610" s="50" t="s">
        <v>250</v>
      </c>
      <c r="D610" s="48" t="s">
        <v>221</v>
      </c>
      <c r="E610" s="45" t="s">
        <v>289</v>
      </c>
      <c r="F610" s="36">
        <v>336</v>
      </c>
      <c r="G610" s="159"/>
    </row>
    <row r="611" spans="1:7" x14ac:dyDescent="0.2">
      <c r="A611" s="49">
        <v>24</v>
      </c>
      <c r="B611" s="48" t="str">
        <f t="shared" si="9"/>
        <v>Sujétions niveau 2Agents de maîtrise</v>
      </c>
      <c r="C611" s="50" t="s">
        <v>169</v>
      </c>
      <c r="D611" s="48" t="s">
        <v>217</v>
      </c>
      <c r="E611" s="45" t="s">
        <v>348</v>
      </c>
      <c r="F611" s="36">
        <v>334</v>
      </c>
      <c r="G611" s="159" t="s">
        <v>252</v>
      </c>
    </row>
    <row r="612" spans="1:7" x14ac:dyDescent="0.2">
      <c r="A612" s="49">
        <v>24</v>
      </c>
      <c r="B612" s="48" t="str">
        <f t="shared" si="9"/>
        <v>Sujétions niveau 2Agents de maîtrise principal</v>
      </c>
      <c r="C612" s="50" t="s">
        <v>169</v>
      </c>
      <c r="D612" s="48" t="s">
        <v>218</v>
      </c>
      <c r="E612" s="45" t="s">
        <v>349</v>
      </c>
      <c r="F612" s="36">
        <v>341</v>
      </c>
      <c r="G612" s="159"/>
    </row>
    <row r="613" spans="1:7" x14ac:dyDescent="0.2">
      <c r="A613" s="49">
        <v>24</v>
      </c>
      <c r="B613" s="48" t="str">
        <f t="shared" si="9"/>
        <v>Sujétions niveau 2Adjoint animation</v>
      </c>
      <c r="C613" s="50" t="s">
        <v>169</v>
      </c>
      <c r="D613" s="48">
        <v>8028</v>
      </c>
      <c r="E613" s="45" t="s">
        <v>311</v>
      </c>
      <c r="F613" s="36">
        <v>321</v>
      </c>
      <c r="G613" s="159"/>
    </row>
    <row r="614" spans="1:7" x14ac:dyDescent="0.2">
      <c r="A614" s="49">
        <v>24</v>
      </c>
      <c r="B614" s="48" t="str">
        <f t="shared" si="9"/>
        <v>Sujétions niveau 2Adjoint technique</v>
      </c>
      <c r="C614" s="50" t="s">
        <v>169</v>
      </c>
      <c r="D614" s="48" t="s">
        <v>219</v>
      </c>
      <c r="E614" s="45" t="s">
        <v>287</v>
      </c>
      <c r="F614" s="36">
        <v>321</v>
      </c>
      <c r="G614" s="159"/>
    </row>
    <row r="615" spans="1:7" x14ac:dyDescent="0.2">
      <c r="A615" s="49">
        <v>24</v>
      </c>
      <c r="B615" s="48" t="str">
        <f t="shared" si="9"/>
        <v xml:space="preserve">Sujétions niveau 2Adjoint technique principal 2° classe </v>
      </c>
      <c r="C615" s="50" t="s">
        <v>169</v>
      </c>
      <c r="D615" s="48" t="s">
        <v>220</v>
      </c>
      <c r="E615" s="45" t="s">
        <v>288</v>
      </c>
      <c r="F615" s="36">
        <v>334</v>
      </c>
      <c r="G615" s="159"/>
    </row>
    <row r="616" spans="1:7" x14ac:dyDescent="0.2">
      <c r="A616" s="49">
        <v>24</v>
      </c>
      <c r="B616" s="48" t="str">
        <f t="shared" si="9"/>
        <v xml:space="preserve">Sujétions niveau 2Adjoint technique principal 1° classe </v>
      </c>
      <c r="C616" s="50" t="s">
        <v>169</v>
      </c>
      <c r="D616" s="48" t="s">
        <v>221</v>
      </c>
      <c r="E616" s="45" t="s">
        <v>289</v>
      </c>
      <c r="F616" s="36">
        <v>341</v>
      </c>
      <c r="G616" s="159"/>
    </row>
    <row r="617" spans="1:7" x14ac:dyDescent="0.2">
      <c r="A617" s="49">
        <v>25</v>
      </c>
      <c r="B617" s="48" t="str">
        <f t="shared" si="9"/>
        <v>Sujétions niveau 3Agents de maîtrise</v>
      </c>
      <c r="C617" s="50" t="s">
        <v>253</v>
      </c>
      <c r="D617" s="48" t="s">
        <v>217</v>
      </c>
      <c r="E617" s="45" t="s">
        <v>348</v>
      </c>
      <c r="F617" s="36">
        <v>339</v>
      </c>
      <c r="G617" s="159" t="s">
        <v>254</v>
      </c>
    </row>
    <row r="618" spans="1:7" x14ac:dyDescent="0.2">
      <c r="A618" s="49">
        <v>25</v>
      </c>
      <c r="B618" s="48" t="str">
        <f t="shared" si="9"/>
        <v>Sujétions niveau 3Agents de maîtrise principal</v>
      </c>
      <c r="C618" s="50" t="s">
        <v>253</v>
      </c>
      <c r="D618" s="48" t="s">
        <v>218</v>
      </c>
      <c r="E618" s="45" t="s">
        <v>349</v>
      </c>
      <c r="F618" s="36">
        <v>346</v>
      </c>
      <c r="G618" s="159"/>
    </row>
    <row r="619" spans="1:7" x14ac:dyDescent="0.2">
      <c r="A619" s="49">
        <v>25</v>
      </c>
      <c r="B619" s="48" t="str">
        <f t="shared" si="9"/>
        <v>Sujétions niveau 3Adjoint technique</v>
      </c>
      <c r="C619" s="50" t="s">
        <v>253</v>
      </c>
      <c r="D619" s="48" t="s">
        <v>219</v>
      </c>
      <c r="E619" s="45" t="s">
        <v>287</v>
      </c>
      <c r="F619" s="36">
        <v>326</v>
      </c>
      <c r="G619" s="159"/>
    </row>
    <row r="620" spans="1:7" x14ac:dyDescent="0.2">
      <c r="A620" s="49">
        <v>25</v>
      </c>
      <c r="B620" s="48" t="str">
        <f t="shared" si="9"/>
        <v xml:space="preserve">Sujétions niveau 3Adjoint technique principal 2° classe </v>
      </c>
      <c r="C620" s="50" t="s">
        <v>253</v>
      </c>
      <c r="D620" s="48" t="s">
        <v>220</v>
      </c>
      <c r="E620" s="45" t="s">
        <v>288</v>
      </c>
      <c r="F620" s="36">
        <v>339</v>
      </c>
      <c r="G620" s="159"/>
    </row>
    <row r="621" spans="1:7" x14ac:dyDescent="0.2">
      <c r="A621" s="49">
        <v>25</v>
      </c>
      <c r="B621" s="48" t="str">
        <f t="shared" si="9"/>
        <v xml:space="preserve">Sujétions niveau 3Adjoint technique principal 1° classe </v>
      </c>
      <c r="C621" s="50" t="s">
        <v>253</v>
      </c>
      <c r="D621" s="48" t="s">
        <v>221</v>
      </c>
      <c r="E621" s="45" t="s">
        <v>289</v>
      </c>
      <c r="F621" s="36">
        <v>346</v>
      </c>
      <c r="G621" s="159"/>
    </row>
    <row r="622" spans="1:7" x14ac:dyDescent="0.2">
      <c r="A622" s="49">
        <v>26</v>
      </c>
      <c r="B622" s="48" t="str">
        <f t="shared" si="9"/>
        <v>Sujétions niveau 4Agents de maîtrise</v>
      </c>
      <c r="C622" s="50" t="s">
        <v>255</v>
      </c>
      <c r="D622" s="48" t="s">
        <v>217</v>
      </c>
      <c r="E622" s="45" t="s">
        <v>348</v>
      </c>
      <c r="F622" s="36">
        <v>349</v>
      </c>
      <c r="G622" s="159" t="s">
        <v>256</v>
      </c>
    </row>
    <row r="623" spans="1:7" x14ac:dyDescent="0.2">
      <c r="A623" s="49">
        <v>26</v>
      </c>
      <c r="B623" s="48" t="str">
        <f t="shared" si="9"/>
        <v>Sujétions niveau 4Agents de maîtrise principal</v>
      </c>
      <c r="C623" s="50" t="s">
        <v>255</v>
      </c>
      <c r="D623" s="48" t="s">
        <v>218</v>
      </c>
      <c r="E623" s="45" t="s">
        <v>349</v>
      </c>
      <c r="F623" s="36">
        <v>356</v>
      </c>
      <c r="G623" s="159"/>
    </row>
    <row r="624" spans="1:7" x14ac:dyDescent="0.2">
      <c r="A624" s="49">
        <v>26</v>
      </c>
      <c r="B624" s="48" t="str">
        <f t="shared" ref="B624:B675" si="10">C624&amp;E624</f>
        <v>Sujétions niveau 4Adjoint technique</v>
      </c>
      <c r="C624" s="50" t="s">
        <v>255</v>
      </c>
      <c r="D624" s="48" t="s">
        <v>219</v>
      </c>
      <c r="E624" s="45" t="s">
        <v>287</v>
      </c>
      <c r="F624" s="36">
        <v>336</v>
      </c>
      <c r="G624" s="159"/>
    </row>
    <row r="625" spans="1:7" x14ac:dyDescent="0.2">
      <c r="A625" s="49">
        <v>26</v>
      </c>
      <c r="B625" s="48" t="str">
        <f t="shared" si="10"/>
        <v xml:space="preserve">Sujétions niveau 4Adjoint technique principal 2° classe </v>
      </c>
      <c r="C625" s="50" t="s">
        <v>255</v>
      </c>
      <c r="D625" s="48" t="s">
        <v>220</v>
      </c>
      <c r="E625" s="45" t="s">
        <v>288</v>
      </c>
      <c r="F625" s="36">
        <v>349</v>
      </c>
      <c r="G625" s="159"/>
    </row>
    <row r="626" spans="1:7" x14ac:dyDescent="0.2">
      <c r="A626" s="49">
        <v>26</v>
      </c>
      <c r="B626" s="48" t="str">
        <f t="shared" si="10"/>
        <v xml:space="preserve">Sujétions niveau 4Adjoint technique principal 1° classe </v>
      </c>
      <c r="C626" s="50" t="s">
        <v>255</v>
      </c>
      <c r="D626" s="48" t="s">
        <v>221</v>
      </c>
      <c r="E626" s="45" t="s">
        <v>289</v>
      </c>
      <c r="F626" s="36">
        <v>356</v>
      </c>
      <c r="G626" s="159"/>
    </row>
    <row r="627" spans="1:7" x14ac:dyDescent="0.2">
      <c r="A627" s="49">
        <v>27</v>
      </c>
      <c r="B627" s="48" t="str">
        <f t="shared" si="10"/>
        <v>Sujétions niveau 5Agents de maîtrise</v>
      </c>
      <c r="C627" s="50" t="s">
        <v>257</v>
      </c>
      <c r="D627" s="48" t="s">
        <v>217</v>
      </c>
      <c r="E627" s="45" t="s">
        <v>348</v>
      </c>
      <c r="F627" s="36">
        <v>354</v>
      </c>
      <c r="G627" s="159" t="s">
        <v>258</v>
      </c>
    </row>
    <row r="628" spans="1:7" x14ac:dyDescent="0.2">
      <c r="A628" s="49">
        <v>27</v>
      </c>
      <c r="B628" s="48" t="str">
        <f t="shared" si="10"/>
        <v>Sujétions niveau 5Agents de maîtrise principal</v>
      </c>
      <c r="C628" s="50" t="s">
        <v>257</v>
      </c>
      <c r="D628" s="48" t="s">
        <v>218</v>
      </c>
      <c r="E628" s="45" t="s">
        <v>349</v>
      </c>
      <c r="F628" s="36">
        <v>361</v>
      </c>
      <c r="G628" s="159"/>
    </row>
    <row r="629" spans="1:7" x14ac:dyDescent="0.2">
      <c r="A629" s="49">
        <v>27</v>
      </c>
      <c r="B629" s="48" t="str">
        <f t="shared" si="10"/>
        <v>Sujétions niveau 5Adjoint technique</v>
      </c>
      <c r="C629" s="50" t="s">
        <v>257</v>
      </c>
      <c r="D629" s="48" t="s">
        <v>219</v>
      </c>
      <c r="E629" s="45" t="s">
        <v>287</v>
      </c>
      <c r="F629" s="36">
        <v>341</v>
      </c>
      <c r="G629" s="159"/>
    </row>
    <row r="630" spans="1:7" x14ac:dyDescent="0.2">
      <c r="A630" s="49">
        <v>27</v>
      </c>
      <c r="B630" s="48" t="str">
        <f t="shared" si="10"/>
        <v xml:space="preserve">Sujétions niveau 5Adjoint technique principal 2° classe </v>
      </c>
      <c r="C630" s="50" t="s">
        <v>257</v>
      </c>
      <c r="D630" s="48" t="s">
        <v>220</v>
      </c>
      <c r="E630" s="45" t="s">
        <v>288</v>
      </c>
      <c r="F630" s="36">
        <v>354</v>
      </c>
      <c r="G630" s="159"/>
    </row>
    <row r="631" spans="1:7" x14ac:dyDescent="0.2">
      <c r="A631" s="49">
        <v>27</v>
      </c>
      <c r="B631" s="48" t="str">
        <f t="shared" si="10"/>
        <v xml:space="preserve">Sujétions niveau 5Adjoint technique principal 1° classe </v>
      </c>
      <c r="C631" s="50" t="s">
        <v>257</v>
      </c>
      <c r="D631" s="48" t="s">
        <v>221</v>
      </c>
      <c r="E631" s="45" t="s">
        <v>289</v>
      </c>
      <c r="F631" s="36">
        <v>361</v>
      </c>
      <c r="G631" s="159"/>
    </row>
    <row r="632" spans="1:7" x14ac:dyDescent="0.2">
      <c r="A632" s="54" t="s">
        <v>259</v>
      </c>
      <c r="B632" s="57" t="str">
        <f t="shared" si="10"/>
        <v>Tuteur de mobilitéAdjoint administratif</v>
      </c>
      <c r="C632" s="55" t="s">
        <v>260</v>
      </c>
      <c r="D632" s="48" t="s">
        <v>200</v>
      </c>
      <c r="E632" s="45" t="s">
        <v>283</v>
      </c>
      <c r="F632" s="36">
        <v>347</v>
      </c>
      <c r="G632" s="103"/>
    </row>
    <row r="633" spans="1:7" x14ac:dyDescent="0.2">
      <c r="A633" s="54" t="s">
        <v>259</v>
      </c>
      <c r="B633" s="57" t="str">
        <f t="shared" si="10"/>
        <v xml:space="preserve">Tuteur de mobilitéAdjoint administratif Principal 2° classe </v>
      </c>
      <c r="C633" s="55" t="s">
        <v>260</v>
      </c>
      <c r="D633" s="48" t="s">
        <v>201</v>
      </c>
      <c r="E633" s="45" t="s">
        <v>286</v>
      </c>
      <c r="F633" s="36">
        <v>381</v>
      </c>
      <c r="G633" s="103"/>
    </row>
    <row r="634" spans="1:7" x14ac:dyDescent="0.2">
      <c r="A634" s="54" t="s">
        <v>259</v>
      </c>
      <c r="B634" s="57" t="str">
        <f t="shared" si="10"/>
        <v xml:space="preserve">Tuteur de mobilitéAdjoint administratif Principal 1° classe </v>
      </c>
      <c r="C634" s="55" t="s">
        <v>260</v>
      </c>
      <c r="D634" s="48" t="s">
        <v>202</v>
      </c>
      <c r="E634" s="45" t="s">
        <v>285</v>
      </c>
      <c r="F634" s="36">
        <v>384</v>
      </c>
      <c r="G634" s="103"/>
    </row>
    <row r="635" spans="1:7" x14ac:dyDescent="0.2">
      <c r="A635" s="54" t="s">
        <v>259</v>
      </c>
      <c r="B635" s="57" t="str">
        <f t="shared" si="10"/>
        <v>Tuteur de mobilitéAdjoint patrimoine</v>
      </c>
      <c r="C635" s="55" t="s">
        <v>260</v>
      </c>
      <c r="D635" s="48" t="s">
        <v>203</v>
      </c>
      <c r="E635" s="45" t="s">
        <v>343</v>
      </c>
      <c r="F635" s="36">
        <v>347</v>
      </c>
      <c r="G635" s="103"/>
    </row>
    <row r="636" spans="1:7" x14ac:dyDescent="0.2">
      <c r="A636" s="54" t="s">
        <v>259</v>
      </c>
      <c r="B636" s="57" t="str">
        <f t="shared" si="10"/>
        <v xml:space="preserve">Tuteur de mobilitéAdjoint patrimoine principal 2° classe </v>
      </c>
      <c r="C636" s="55" t="s">
        <v>260</v>
      </c>
      <c r="D636" s="48" t="s">
        <v>204</v>
      </c>
      <c r="E636" s="45" t="s">
        <v>344</v>
      </c>
      <c r="F636" s="36">
        <v>381</v>
      </c>
      <c r="G636" s="103"/>
    </row>
    <row r="637" spans="1:7" x14ac:dyDescent="0.2">
      <c r="A637" s="54" t="s">
        <v>259</v>
      </c>
      <c r="B637" s="57" t="str">
        <f t="shared" si="10"/>
        <v xml:space="preserve">Tuteur de mobilitéAdjoint patrimoine principal 1° classe </v>
      </c>
      <c r="C637" s="55" t="s">
        <v>260</v>
      </c>
      <c r="D637" s="48" t="s">
        <v>205</v>
      </c>
      <c r="E637" s="45" t="s">
        <v>345</v>
      </c>
      <c r="F637" s="36">
        <v>384</v>
      </c>
      <c r="G637" s="103"/>
    </row>
    <row r="638" spans="1:7" x14ac:dyDescent="0.2">
      <c r="A638" s="54" t="s">
        <v>259</v>
      </c>
      <c r="B638" s="57" t="str">
        <f t="shared" si="10"/>
        <v>Tuteur de mobilitéOpérateur APS</v>
      </c>
      <c r="C638" s="55" t="s">
        <v>260</v>
      </c>
      <c r="D638" s="48" t="s">
        <v>206</v>
      </c>
      <c r="E638" s="45" t="s">
        <v>322</v>
      </c>
      <c r="F638" s="36">
        <v>347</v>
      </c>
      <c r="G638" s="103"/>
    </row>
    <row r="639" spans="1:7" x14ac:dyDescent="0.2">
      <c r="A639" s="54" t="s">
        <v>259</v>
      </c>
      <c r="B639" s="57" t="str">
        <f t="shared" si="10"/>
        <v>Tuteur de mobilitéOpérateur APS qualifié</v>
      </c>
      <c r="C639" s="55" t="s">
        <v>260</v>
      </c>
      <c r="D639" s="48" t="s">
        <v>207</v>
      </c>
      <c r="E639" s="45" t="s">
        <v>323</v>
      </c>
      <c r="F639" s="36">
        <v>381</v>
      </c>
      <c r="G639" s="103"/>
    </row>
    <row r="640" spans="1:7" x14ac:dyDescent="0.2">
      <c r="A640" s="54" t="s">
        <v>259</v>
      </c>
      <c r="B640" s="57" t="str">
        <f t="shared" si="10"/>
        <v>Tuteur de mobilitéOpérateur APS principal</v>
      </c>
      <c r="C640" s="55" t="s">
        <v>260</v>
      </c>
      <c r="D640" s="48" t="s">
        <v>208</v>
      </c>
      <c r="E640" s="45" t="s">
        <v>324</v>
      </c>
      <c r="F640" s="36">
        <v>384</v>
      </c>
      <c r="G640" s="103"/>
    </row>
    <row r="641" spans="1:7" x14ac:dyDescent="0.2">
      <c r="A641" s="54" t="s">
        <v>259</v>
      </c>
      <c r="B641" s="57" t="str">
        <f t="shared" si="10"/>
        <v>Tuteur de mobilitéATSEM principal 2° classe</v>
      </c>
      <c r="C641" s="55" t="s">
        <v>260</v>
      </c>
      <c r="D641" s="48" t="s">
        <v>209</v>
      </c>
      <c r="E641" t="s">
        <v>404</v>
      </c>
      <c r="F641" s="36">
        <v>381</v>
      </c>
      <c r="G641" s="103"/>
    </row>
    <row r="642" spans="1:7" x14ac:dyDescent="0.2">
      <c r="A642" s="54" t="s">
        <v>259</v>
      </c>
      <c r="B642" s="57" t="str">
        <f t="shared" si="10"/>
        <v>Tuteur de mobilitéATSEM principal 1° classe</v>
      </c>
      <c r="C642" s="55" t="s">
        <v>260</v>
      </c>
      <c r="D642" s="48" t="s">
        <v>210</v>
      </c>
      <c r="E642" t="s">
        <v>405</v>
      </c>
      <c r="F642" s="36">
        <v>384</v>
      </c>
      <c r="G642" s="103"/>
    </row>
    <row r="643" spans="1:7" x14ac:dyDescent="0.2">
      <c r="A643" s="54" t="s">
        <v>259</v>
      </c>
      <c r="B643" s="57" t="str">
        <f t="shared" si="10"/>
        <v>Tuteur de mobilitéAgent social</v>
      </c>
      <c r="C643" s="55" t="s">
        <v>260</v>
      </c>
      <c r="D643" s="48" t="s">
        <v>211</v>
      </c>
      <c r="E643" s="45" t="s">
        <v>401</v>
      </c>
      <c r="F643" s="36">
        <v>347</v>
      </c>
      <c r="G643" s="103"/>
    </row>
    <row r="644" spans="1:7" x14ac:dyDescent="0.2">
      <c r="A644" s="54" t="s">
        <v>259</v>
      </c>
      <c r="B644" s="57" t="str">
        <f t="shared" si="10"/>
        <v>Tuteur de mobilitéAgent social principal 2° classe</v>
      </c>
      <c r="C644" s="55" t="s">
        <v>260</v>
      </c>
      <c r="D644" s="48" t="s">
        <v>212</v>
      </c>
      <c r="E644" s="45" t="s">
        <v>402</v>
      </c>
      <c r="F644" s="36">
        <v>381</v>
      </c>
      <c r="G644" s="103"/>
    </row>
    <row r="645" spans="1:7" x14ac:dyDescent="0.2">
      <c r="A645" s="54" t="s">
        <v>259</v>
      </c>
      <c r="B645" s="57" t="str">
        <f t="shared" si="10"/>
        <v>Tuteur de mobilitéAgent social principal 1° classe</v>
      </c>
      <c r="C645" s="55" t="s">
        <v>260</v>
      </c>
      <c r="D645" s="48" t="s">
        <v>213</v>
      </c>
      <c r="E645" t="s">
        <v>403</v>
      </c>
      <c r="F645" s="36">
        <v>384</v>
      </c>
      <c r="G645" s="103"/>
    </row>
    <row r="646" spans="1:7" x14ac:dyDescent="0.2">
      <c r="A646" s="54" t="s">
        <v>259</v>
      </c>
      <c r="B646" s="57" t="str">
        <f t="shared" si="10"/>
        <v>Tuteur de mobilitéAdjoint animation</v>
      </c>
      <c r="C646" s="55" t="s">
        <v>260</v>
      </c>
      <c r="D646" s="48" t="s">
        <v>214</v>
      </c>
      <c r="E646" s="45" t="s">
        <v>311</v>
      </c>
      <c r="F646" s="36">
        <v>347</v>
      </c>
      <c r="G646" s="103"/>
    </row>
    <row r="647" spans="1:7" x14ac:dyDescent="0.2">
      <c r="A647" s="54" t="s">
        <v>259</v>
      </c>
      <c r="B647" s="57" t="str">
        <f t="shared" si="10"/>
        <v xml:space="preserve">Tuteur de mobilitéAdjoint animation principal 2° classe </v>
      </c>
      <c r="C647" s="55" t="s">
        <v>260</v>
      </c>
      <c r="D647" s="48" t="s">
        <v>215</v>
      </c>
      <c r="E647" s="45" t="s">
        <v>312</v>
      </c>
      <c r="F647" s="36">
        <v>381</v>
      </c>
      <c r="G647" s="103"/>
    </row>
    <row r="648" spans="1:7" x14ac:dyDescent="0.2">
      <c r="A648" s="54" t="s">
        <v>259</v>
      </c>
      <c r="B648" s="57" t="str">
        <f t="shared" si="10"/>
        <v xml:space="preserve">Tuteur de mobilitéAdjoint animation principal 1° classe </v>
      </c>
      <c r="C648" s="55" t="s">
        <v>260</v>
      </c>
      <c r="D648" s="48" t="s">
        <v>216</v>
      </c>
      <c r="E648" s="45" t="s">
        <v>313</v>
      </c>
      <c r="F648" s="36">
        <v>384</v>
      </c>
      <c r="G648" s="103"/>
    </row>
    <row r="649" spans="1:7" x14ac:dyDescent="0.2">
      <c r="A649" s="54" t="s">
        <v>259</v>
      </c>
      <c r="B649" s="57" t="str">
        <f t="shared" si="10"/>
        <v>Tuteur de mobilitéAgents de maîtrise</v>
      </c>
      <c r="C649" s="55" t="s">
        <v>260</v>
      </c>
      <c r="D649" s="48" t="s">
        <v>217</v>
      </c>
      <c r="E649" s="45" t="s">
        <v>348</v>
      </c>
      <c r="F649" s="36">
        <v>359</v>
      </c>
      <c r="G649" s="103"/>
    </row>
    <row r="650" spans="1:7" x14ac:dyDescent="0.2">
      <c r="A650" s="54" t="s">
        <v>259</v>
      </c>
      <c r="B650" s="57" t="str">
        <f t="shared" si="10"/>
        <v>Tuteur de mobilitéAgents de maîtrise principal</v>
      </c>
      <c r="C650" s="55" t="s">
        <v>260</v>
      </c>
      <c r="D650" s="48" t="s">
        <v>218</v>
      </c>
      <c r="E650" s="45" t="s">
        <v>349</v>
      </c>
      <c r="F650" s="36">
        <v>366</v>
      </c>
      <c r="G650" s="103"/>
    </row>
    <row r="651" spans="1:7" x14ac:dyDescent="0.2">
      <c r="A651" s="54" t="s">
        <v>259</v>
      </c>
      <c r="B651" s="57" t="str">
        <f t="shared" si="10"/>
        <v>Tuteur de mobilitéAdjoint technique</v>
      </c>
      <c r="C651" s="55" t="s">
        <v>260</v>
      </c>
      <c r="D651" s="48" t="s">
        <v>219</v>
      </c>
      <c r="E651" s="45" t="s">
        <v>287</v>
      </c>
      <c r="F651" s="36">
        <v>346</v>
      </c>
      <c r="G651" s="103"/>
    </row>
    <row r="652" spans="1:7" x14ac:dyDescent="0.2">
      <c r="A652" s="54" t="s">
        <v>259</v>
      </c>
      <c r="B652" s="57" t="str">
        <f t="shared" si="10"/>
        <v xml:space="preserve">Tuteur de mobilitéAdjoint technique principal 2° classe </v>
      </c>
      <c r="C652" s="55" t="s">
        <v>260</v>
      </c>
      <c r="D652" s="48" t="s">
        <v>220</v>
      </c>
      <c r="E652" s="45" t="s">
        <v>288</v>
      </c>
      <c r="F652" s="36">
        <v>359</v>
      </c>
      <c r="G652" s="103"/>
    </row>
    <row r="653" spans="1:7" x14ac:dyDescent="0.2">
      <c r="A653" s="54" t="s">
        <v>259</v>
      </c>
      <c r="B653" s="57" t="str">
        <f t="shared" si="10"/>
        <v xml:space="preserve">Tuteur de mobilitéAdjoint technique principal 1° classe </v>
      </c>
      <c r="C653" s="55" t="s">
        <v>260</v>
      </c>
      <c r="D653" s="48" t="s">
        <v>221</v>
      </c>
      <c r="E653" s="45" t="s">
        <v>289</v>
      </c>
      <c r="F653" s="36">
        <v>366</v>
      </c>
      <c r="G653" s="103"/>
    </row>
    <row r="654" spans="1:7" x14ac:dyDescent="0.2">
      <c r="A654" s="54" t="s">
        <v>261</v>
      </c>
      <c r="B654" s="57" t="str">
        <f t="shared" si="10"/>
        <v>Assistant de préventionAdjoint administratif</v>
      </c>
      <c r="C654" s="55" t="s">
        <v>262</v>
      </c>
      <c r="D654" s="48" t="s">
        <v>200</v>
      </c>
      <c r="E654" s="45" t="s">
        <v>283</v>
      </c>
      <c r="F654" s="36">
        <v>347</v>
      </c>
      <c r="G654" s="103"/>
    </row>
    <row r="655" spans="1:7" x14ac:dyDescent="0.2">
      <c r="A655" s="54" t="s">
        <v>261</v>
      </c>
      <c r="B655" s="57" t="str">
        <f t="shared" si="10"/>
        <v xml:space="preserve">Assistant de préventionAdjoint administratif Principal 2° classe </v>
      </c>
      <c r="C655" s="55" t="s">
        <v>262</v>
      </c>
      <c r="D655" s="48" t="s">
        <v>201</v>
      </c>
      <c r="E655" s="45" t="s">
        <v>286</v>
      </c>
      <c r="F655" s="36">
        <v>381</v>
      </c>
      <c r="G655" s="103"/>
    </row>
    <row r="656" spans="1:7" x14ac:dyDescent="0.2">
      <c r="A656" s="54" t="s">
        <v>261</v>
      </c>
      <c r="B656" s="57" t="str">
        <f t="shared" si="10"/>
        <v xml:space="preserve">Assistant de préventionAdjoint administratif Principal 1° classe </v>
      </c>
      <c r="C656" s="55" t="s">
        <v>262</v>
      </c>
      <c r="D656" s="48" t="s">
        <v>202</v>
      </c>
      <c r="E656" s="45" t="s">
        <v>285</v>
      </c>
      <c r="F656" s="36">
        <v>384</v>
      </c>
      <c r="G656" s="103"/>
    </row>
    <row r="657" spans="1:7" x14ac:dyDescent="0.2">
      <c r="A657" s="54" t="s">
        <v>261</v>
      </c>
      <c r="B657" s="57" t="str">
        <f t="shared" si="10"/>
        <v>Assistant de préventionAdjoint patrimoine</v>
      </c>
      <c r="C657" s="55" t="s">
        <v>262</v>
      </c>
      <c r="D657" s="48" t="s">
        <v>203</v>
      </c>
      <c r="E657" s="45" t="s">
        <v>343</v>
      </c>
      <c r="F657" s="36">
        <v>347</v>
      </c>
      <c r="G657" s="103"/>
    </row>
    <row r="658" spans="1:7" x14ac:dyDescent="0.2">
      <c r="A658" s="54" t="s">
        <v>261</v>
      </c>
      <c r="B658" s="57" t="str">
        <f t="shared" si="10"/>
        <v xml:space="preserve">Assistant de préventionAdjoint patrimoine principal 2° classe </v>
      </c>
      <c r="C658" s="55" t="s">
        <v>262</v>
      </c>
      <c r="D658" s="48" t="s">
        <v>204</v>
      </c>
      <c r="E658" s="45" t="s">
        <v>344</v>
      </c>
      <c r="F658" s="36">
        <v>381</v>
      </c>
      <c r="G658" s="103"/>
    </row>
    <row r="659" spans="1:7" x14ac:dyDescent="0.2">
      <c r="A659" s="54" t="s">
        <v>261</v>
      </c>
      <c r="B659" s="57" t="str">
        <f t="shared" si="10"/>
        <v xml:space="preserve">Assistant de préventionAdjoint patrimoine principal 1° classe </v>
      </c>
      <c r="C659" s="55" t="s">
        <v>262</v>
      </c>
      <c r="D659" s="48" t="s">
        <v>205</v>
      </c>
      <c r="E659" s="45" t="s">
        <v>345</v>
      </c>
      <c r="F659" s="36">
        <v>384</v>
      </c>
      <c r="G659" s="103"/>
    </row>
    <row r="660" spans="1:7" x14ac:dyDescent="0.2">
      <c r="A660" s="54" t="s">
        <v>261</v>
      </c>
      <c r="B660" s="57" t="str">
        <f t="shared" si="10"/>
        <v>Assistant de préventionOpérateur APS</v>
      </c>
      <c r="C660" s="55" t="s">
        <v>262</v>
      </c>
      <c r="D660" s="48" t="s">
        <v>206</v>
      </c>
      <c r="E660" s="45" t="s">
        <v>322</v>
      </c>
      <c r="F660" s="36">
        <v>347</v>
      </c>
      <c r="G660" s="103"/>
    </row>
    <row r="661" spans="1:7" x14ac:dyDescent="0.2">
      <c r="A661" s="54" t="s">
        <v>261</v>
      </c>
      <c r="B661" s="57" t="str">
        <f t="shared" si="10"/>
        <v>Assistant de préventionOpérateur APS qualifié</v>
      </c>
      <c r="C661" s="55" t="s">
        <v>262</v>
      </c>
      <c r="D661" s="48" t="s">
        <v>207</v>
      </c>
      <c r="E661" s="45" t="s">
        <v>323</v>
      </c>
      <c r="F661" s="36">
        <v>381</v>
      </c>
      <c r="G661" s="103"/>
    </row>
    <row r="662" spans="1:7" x14ac:dyDescent="0.2">
      <c r="A662" s="54" t="s">
        <v>261</v>
      </c>
      <c r="B662" s="57" t="str">
        <f t="shared" si="10"/>
        <v>Assistant de préventionOpérateur APS principal</v>
      </c>
      <c r="C662" s="55" t="s">
        <v>262</v>
      </c>
      <c r="D662" s="48" t="s">
        <v>208</v>
      </c>
      <c r="E662" s="45" t="s">
        <v>324</v>
      </c>
      <c r="F662" s="36">
        <v>384</v>
      </c>
      <c r="G662" s="103"/>
    </row>
    <row r="663" spans="1:7" x14ac:dyDescent="0.2">
      <c r="A663" s="54" t="s">
        <v>261</v>
      </c>
      <c r="B663" s="57" t="str">
        <f t="shared" si="10"/>
        <v>Assistant de préventionATSEM principal 2° classe</v>
      </c>
      <c r="C663" s="55" t="s">
        <v>262</v>
      </c>
      <c r="D663" s="48" t="s">
        <v>209</v>
      </c>
      <c r="E663" t="s">
        <v>404</v>
      </c>
      <c r="F663" s="36">
        <v>381</v>
      </c>
      <c r="G663" s="103"/>
    </row>
    <row r="664" spans="1:7" x14ac:dyDescent="0.2">
      <c r="A664" s="54" t="s">
        <v>261</v>
      </c>
      <c r="B664" s="57" t="str">
        <f t="shared" si="10"/>
        <v>Assistant de préventionATSEM principal 1° classe</v>
      </c>
      <c r="C664" s="55" t="s">
        <v>262</v>
      </c>
      <c r="D664" s="48" t="s">
        <v>210</v>
      </c>
      <c r="E664" t="s">
        <v>405</v>
      </c>
      <c r="F664" s="36">
        <v>384</v>
      </c>
      <c r="G664" s="103"/>
    </row>
    <row r="665" spans="1:7" x14ac:dyDescent="0.2">
      <c r="A665" s="54" t="s">
        <v>261</v>
      </c>
      <c r="B665" s="57" t="str">
        <f t="shared" si="10"/>
        <v>Assistant de préventionAgent social</v>
      </c>
      <c r="C665" s="55" t="s">
        <v>262</v>
      </c>
      <c r="D665" s="48" t="s">
        <v>211</v>
      </c>
      <c r="E665" s="45" t="s">
        <v>401</v>
      </c>
      <c r="F665" s="36">
        <v>347</v>
      </c>
      <c r="G665" s="103"/>
    </row>
    <row r="666" spans="1:7" x14ac:dyDescent="0.2">
      <c r="A666" s="54" t="s">
        <v>261</v>
      </c>
      <c r="B666" s="57" t="str">
        <f t="shared" si="10"/>
        <v>Assistant de préventionAgent social principal 2° classe</v>
      </c>
      <c r="C666" s="55" t="s">
        <v>262</v>
      </c>
      <c r="D666" s="48" t="s">
        <v>212</v>
      </c>
      <c r="E666" s="45" t="s">
        <v>402</v>
      </c>
      <c r="F666" s="36">
        <v>381</v>
      </c>
      <c r="G666" s="103"/>
    </row>
    <row r="667" spans="1:7" x14ac:dyDescent="0.2">
      <c r="A667" s="54" t="s">
        <v>261</v>
      </c>
      <c r="B667" s="57" t="str">
        <f t="shared" si="10"/>
        <v>Assistant de préventionAgent social principal 1° classe</v>
      </c>
      <c r="C667" s="55" t="s">
        <v>262</v>
      </c>
      <c r="D667" s="48" t="s">
        <v>213</v>
      </c>
      <c r="E667" t="s">
        <v>403</v>
      </c>
      <c r="F667" s="36">
        <v>384</v>
      </c>
      <c r="G667" s="103"/>
    </row>
    <row r="668" spans="1:7" x14ac:dyDescent="0.2">
      <c r="A668" s="54" t="s">
        <v>261</v>
      </c>
      <c r="B668" s="57" t="str">
        <f t="shared" si="10"/>
        <v>Assistant de préventionAdjoint animation</v>
      </c>
      <c r="C668" s="55" t="s">
        <v>262</v>
      </c>
      <c r="D668" s="48" t="s">
        <v>214</v>
      </c>
      <c r="E668" s="45" t="s">
        <v>311</v>
      </c>
      <c r="F668" s="36">
        <v>347</v>
      </c>
      <c r="G668" s="103"/>
    </row>
    <row r="669" spans="1:7" x14ac:dyDescent="0.2">
      <c r="A669" s="54" t="s">
        <v>261</v>
      </c>
      <c r="B669" s="57" t="str">
        <f t="shared" si="10"/>
        <v xml:space="preserve">Assistant de préventionAdjoint animation principal 2° classe </v>
      </c>
      <c r="C669" s="55" t="s">
        <v>262</v>
      </c>
      <c r="D669" s="48" t="s">
        <v>215</v>
      </c>
      <c r="E669" s="45" t="s">
        <v>312</v>
      </c>
      <c r="F669" s="36">
        <v>381</v>
      </c>
      <c r="G669" s="103"/>
    </row>
    <row r="670" spans="1:7" x14ac:dyDescent="0.2">
      <c r="A670" s="54" t="s">
        <v>261</v>
      </c>
      <c r="B670" s="57" t="str">
        <f t="shared" si="10"/>
        <v xml:space="preserve">Assistant de préventionAdjoint animation principal 1° classe </v>
      </c>
      <c r="C670" s="55" t="s">
        <v>262</v>
      </c>
      <c r="D670" s="48" t="s">
        <v>216</v>
      </c>
      <c r="E670" s="45" t="s">
        <v>313</v>
      </c>
      <c r="F670" s="36">
        <v>384</v>
      </c>
      <c r="G670" s="103"/>
    </row>
    <row r="671" spans="1:7" x14ac:dyDescent="0.2">
      <c r="A671" s="54" t="s">
        <v>261</v>
      </c>
      <c r="B671" s="57" t="str">
        <f t="shared" si="10"/>
        <v>Assistant de préventionAgents de maîtrise</v>
      </c>
      <c r="C671" s="55" t="s">
        <v>262</v>
      </c>
      <c r="D671" s="48" t="s">
        <v>217</v>
      </c>
      <c r="E671" s="45" t="s">
        <v>348</v>
      </c>
      <c r="F671" s="36">
        <v>359</v>
      </c>
      <c r="G671" s="103"/>
    </row>
    <row r="672" spans="1:7" x14ac:dyDescent="0.2">
      <c r="A672" s="54" t="s">
        <v>261</v>
      </c>
      <c r="B672" s="57" t="str">
        <f t="shared" si="10"/>
        <v>Assistant de préventionAgents de maîtrise principal</v>
      </c>
      <c r="C672" s="55" t="s">
        <v>262</v>
      </c>
      <c r="D672" s="48" t="s">
        <v>218</v>
      </c>
      <c r="E672" s="45" t="s">
        <v>349</v>
      </c>
      <c r="F672" s="36">
        <v>366</v>
      </c>
      <c r="G672" s="103"/>
    </row>
    <row r="673" spans="1:7" x14ac:dyDescent="0.2">
      <c r="A673" s="54" t="s">
        <v>261</v>
      </c>
      <c r="B673" s="57" t="str">
        <f t="shared" si="10"/>
        <v>Assistant de préventionAdjoint technique</v>
      </c>
      <c r="C673" s="55" t="s">
        <v>262</v>
      </c>
      <c r="D673" s="48" t="s">
        <v>219</v>
      </c>
      <c r="E673" s="45" t="s">
        <v>287</v>
      </c>
      <c r="F673" s="36">
        <v>346</v>
      </c>
      <c r="G673" s="103"/>
    </row>
    <row r="674" spans="1:7" x14ac:dyDescent="0.2">
      <c r="A674" s="54" t="s">
        <v>261</v>
      </c>
      <c r="B674" s="57" t="str">
        <f t="shared" si="10"/>
        <v xml:space="preserve">Assistant de préventionAdjoint technique principal 2° classe </v>
      </c>
      <c r="C674" s="55" t="s">
        <v>262</v>
      </c>
      <c r="D674" s="48" t="s">
        <v>220</v>
      </c>
      <c r="E674" s="45" t="s">
        <v>288</v>
      </c>
      <c r="F674" s="36">
        <v>359</v>
      </c>
      <c r="G674" s="103"/>
    </row>
    <row r="675" spans="1:7" x14ac:dyDescent="0.2">
      <c r="A675" s="54" t="s">
        <v>261</v>
      </c>
      <c r="B675" s="57" t="str">
        <f t="shared" si="10"/>
        <v xml:space="preserve">Assistant de préventionAdjoint technique principal 1° classe </v>
      </c>
      <c r="C675" s="55" t="s">
        <v>262</v>
      </c>
      <c r="D675" s="48" t="s">
        <v>221</v>
      </c>
      <c r="E675" s="45" t="s">
        <v>289</v>
      </c>
      <c r="F675" s="36">
        <v>366</v>
      </c>
      <c r="G675" s="103"/>
    </row>
  </sheetData>
  <autoFilter ref="A1:G675" xr:uid="{4DEBD72F-B556-45AC-9D8B-2C50E3D4E481}"/>
  <mergeCells count="25">
    <mergeCell ref="G400:G401"/>
    <mergeCell ref="G24:G34"/>
    <mergeCell ref="G98:G101"/>
    <mergeCell ref="G221:G222"/>
    <mergeCell ref="G341:G359"/>
    <mergeCell ref="G388:G390"/>
    <mergeCell ref="G545:G566"/>
    <mergeCell ref="G468:G472"/>
    <mergeCell ref="G473:G477"/>
    <mergeCell ref="G478:G482"/>
    <mergeCell ref="G483:G487"/>
    <mergeCell ref="G488:G492"/>
    <mergeCell ref="G493:G497"/>
    <mergeCell ref="G520:G524"/>
    <mergeCell ref="G525:G529"/>
    <mergeCell ref="G530:G534"/>
    <mergeCell ref="G535:G539"/>
    <mergeCell ref="G540:G544"/>
    <mergeCell ref="G627:G631"/>
    <mergeCell ref="G567:G574"/>
    <mergeCell ref="G601:G605"/>
    <mergeCell ref="G606:G610"/>
    <mergeCell ref="G611:G616"/>
    <mergeCell ref="G617:G621"/>
    <mergeCell ref="G622:G626"/>
  </mergeCell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716AA2-46FD-4774-8CCA-13E616464644}">
  <sheetPr codeName="Feuil1">
    <tabColor theme="9" tint="0.79998168889431442"/>
  </sheetPr>
  <dimension ref="B1:W47"/>
  <sheetViews>
    <sheetView showGridLines="0" tabSelected="1" topLeftCell="B1" workbookViewId="0">
      <selection activeCell="O13" sqref="O13"/>
    </sheetView>
  </sheetViews>
  <sheetFormatPr baseColWidth="10" defaultRowHeight="17.25" customHeight="1" x14ac:dyDescent="0.2"/>
  <cols>
    <col min="1" max="1" width="4.28515625" style="3" customWidth="1"/>
    <col min="2" max="2" width="11.42578125" style="3"/>
    <col min="3" max="3" width="10.85546875" style="3" customWidth="1"/>
    <col min="4" max="4" width="14.140625" style="3" bestFit="1" customWidth="1"/>
    <col min="5" max="5" width="11.85546875" style="3" customWidth="1"/>
    <col min="6" max="6" width="8.7109375" style="3" customWidth="1"/>
    <col min="7" max="9" width="11.85546875" style="3" customWidth="1"/>
    <col min="10" max="10" width="1" style="3" customWidth="1"/>
    <col min="11" max="11" width="11.85546875" style="3" customWidth="1"/>
    <col min="12" max="18" width="11.42578125" style="3" customWidth="1"/>
    <col min="19" max="22" width="11.42578125" style="3"/>
    <col min="23" max="23" width="11.42578125" style="3" hidden="1" customWidth="1"/>
    <col min="24" max="16384" width="11.42578125" style="3"/>
  </cols>
  <sheetData>
    <row r="1" spans="2:23" ht="31.5" customHeight="1" thickBot="1" x14ac:dyDescent="0.25">
      <c r="B1" s="118" t="s">
        <v>407</v>
      </c>
      <c r="C1" s="118"/>
      <c r="D1" s="118"/>
      <c r="E1" s="118"/>
      <c r="F1" s="118"/>
      <c r="G1" s="118"/>
      <c r="H1" s="118"/>
      <c r="I1" s="118"/>
      <c r="J1" s="118"/>
      <c r="K1" s="118"/>
      <c r="L1" s="119" t="s">
        <v>408</v>
      </c>
    </row>
    <row r="2" spans="2:23" ht="17.25" customHeight="1" x14ac:dyDescent="0.2">
      <c r="D2" s="125"/>
      <c r="E2" s="126"/>
      <c r="F2" s="126"/>
      <c r="G2" s="126"/>
      <c r="H2" s="126"/>
      <c r="I2" s="126"/>
      <c r="J2" s="127"/>
      <c r="W2" s="115">
        <f>IF(I3,"VRAI",0)</f>
        <v>0</v>
      </c>
    </row>
    <row r="3" spans="2:23" ht="17.25" customHeight="1" x14ac:dyDescent="0.2">
      <c r="D3" s="135" t="s">
        <v>30</v>
      </c>
      <c r="E3" s="143" t="s">
        <v>26</v>
      </c>
      <c r="F3" s="144"/>
      <c r="G3" s="136"/>
      <c r="H3" s="137" t="s">
        <v>300</v>
      </c>
      <c r="I3" s="138" t="b">
        <v>0</v>
      </c>
      <c r="J3" s="139"/>
    </row>
    <row r="4" spans="2:23" ht="12" customHeight="1" x14ac:dyDescent="0.2">
      <c r="D4" s="120"/>
      <c r="E4" s="136"/>
      <c r="F4" s="136"/>
      <c r="G4" s="136"/>
      <c r="H4" s="136"/>
      <c r="I4" s="136"/>
      <c r="J4" s="121"/>
    </row>
    <row r="5" spans="2:23" ht="17.25" customHeight="1" x14ac:dyDescent="0.2">
      <c r="D5" s="135" t="s">
        <v>34</v>
      </c>
      <c r="E5" s="129">
        <v>35</v>
      </c>
      <c r="F5" s="136"/>
      <c r="G5" s="140" t="s">
        <v>62</v>
      </c>
      <c r="H5" s="130"/>
      <c r="I5" s="136"/>
      <c r="J5" s="121"/>
    </row>
    <row r="6" spans="2:23" ht="10.5" customHeight="1" x14ac:dyDescent="0.2">
      <c r="D6" s="120"/>
      <c r="E6" s="136"/>
      <c r="F6" s="136"/>
      <c r="G6" s="136"/>
      <c r="H6" s="136"/>
      <c r="I6" s="136"/>
      <c r="J6" s="121"/>
    </row>
    <row r="7" spans="2:23" ht="17.25" customHeight="1" x14ac:dyDescent="0.2">
      <c r="D7" s="135" t="s">
        <v>31</v>
      </c>
      <c r="E7" s="145" t="s">
        <v>7</v>
      </c>
      <c r="F7" s="146"/>
      <c r="G7" s="147"/>
      <c r="H7" s="136"/>
      <c r="I7" s="136"/>
      <c r="J7" s="121"/>
    </row>
    <row r="8" spans="2:23" ht="17.25" customHeight="1" x14ac:dyDescent="0.2">
      <c r="D8" s="135" t="s">
        <v>32</v>
      </c>
      <c r="E8" s="145" t="s">
        <v>21</v>
      </c>
      <c r="F8" s="146"/>
      <c r="G8" s="146"/>
      <c r="H8" s="147"/>
      <c r="I8" s="136"/>
      <c r="J8" s="121"/>
    </row>
    <row r="9" spans="2:23" ht="17.25" customHeight="1" x14ac:dyDescent="0.2">
      <c r="D9" s="135" t="s">
        <v>33</v>
      </c>
      <c r="E9" s="145" t="s">
        <v>0</v>
      </c>
      <c r="F9" s="146"/>
      <c r="G9" s="146"/>
      <c r="H9" s="146"/>
      <c r="I9" s="147"/>
      <c r="J9" s="121"/>
    </row>
    <row r="10" spans="2:23" ht="10.5" customHeight="1" x14ac:dyDescent="0.2">
      <c r="D10" s="120"/>
      <c r="E10" s="136"/>
      <c r="F10" s="136"/>
      <c r="G10" s="136"/>
      <c r="H10" s="136"/>
      <c r="I10" s="136"/>
      <c r="J10" s="121"/>
    </row>
    <row r="11" spans="2:23" ht="17.25" customHeight="1" x14ac:dyDescent="0.2">
      <c r="D11" s="135" t="s">
        <v>27</v>
      </c>
      <c r="E11" s="128">
        <v>6</v>
      </c>
      <c r="F11" s="140" t="s">
        <v>28</v>
      </c>
      <c r="G11" s="4">
        <f>IFERROR(VLOOKUP(E9&amp;E11,Base_grades!C:G,5,FALSE),0)</f>
        <v>386</v>
      </c>
      <c r="H11" s="140" t="s">
        <v>29</v>
      </c>
      <c r="I11" s="129">
        <v>25</v>
      </c>
      <c r="J11" s="121"/>
    </row>
    <row r="12" spans="2:23" ht="10.5" customHeight="1" x14ac:dyDescent="0.2">
      <c r="D12" s="120"/>
      <c r="E12" s="136"/>
      <c r="F12" s="136"/>
      <c r="G12" s="136"/>
      <c r="H12" s="136"/>
      <c r="I12" s="136"/>
      <c r="J12" s="121"/>
    </row>
    <row r="13" spans="2:23" ht="17.25" customHeight="1" x14ac:dyDescent="0.2">
      <c r="D13" s="135" t="s">
        <v>36</v>
      </c>
      <c r="E13" s="129"/>
      <c r="F13" s="136"/>
      <c r="G13" s="136"/>
      <c r="H13" s="140" t="s">
        <v>265</v>
      </c>
      <c r="I13" s="131"/>
      <c r="J13" s="121"/>
    </row>
    <row r="14" spans="2:23" ht="10.5" customHeight="1" x14ac:dyDescent="0.2">
      <c r="D14" s="120"/>
      <c r="E14" s="136"/>
      <c r="F14" s="136"/>
      <c r="G14" s="136"/>
      <c r="H14" s="136"/>
      <c r="I14" s="136"/>
      <c r="J14" s="121"/>
    </row>
    <row r="15" spans="2:23" ht="17.25" customHeight="1" x14ac:dyDescent="0.2">
      <c r="D15" s="135" t="s">
        <v>35</v>
      </c>
      <c r="E15" s="141"/>
      <c r="F15" s="142"/>
      <c r="G15" s="142"/>
      <c r="H15" s="136"/>
      <c r="I15" s="136"/>
      <c r="J15" s="121"/>
    </row>
    <row r="16" spans="2:23" ht="17.25" customHeight="1" x14ac:dyDescent="0.2">
      <c r="D16" s="135" t="s">
        <v>264</v>
      </c>
      <c r="E16" s="131"/>
      <c r="F16" s="136"/>
      <c r="G16" s="136"/>
      <c r="H16" s="136"/>
      <c r="I16" s="136"/>
      <c r="J16" s="121"/>
    </row>
    <row r="17" spans="2:12" ht="10.5" customHeight="1" x14ac:dyDescent="0.2">
      <c r="D17" s="120"/>
      <c r="E17" s="136"/>
      <c r="F17" s="136"/>
      <c r="G17" s="136"/>
      <c r="H17" s="136"/>
      <c r="I17" s="136"/>
      <c r="J17" s="121"/>
    </row>
    <row r="18" spans="2:12" ht="17.25" customHeight="1" x14ac:dyDescent="0.2">
      <c r="D18" s="135" t="s">
        <v>277</v>
      </c>
      <c r="E18" s="128"/>
      <c r="F18" s="140" t="s">
        <v>278</v>
      </c>
      <c r="G18" s="128"/>
      <c r="H18" s="140" t="s">
        <v>279</v>
      </c>
      <c r="I18" s="128"/>
      <c r="J18" s="121"/>
    </row>
    <row r="19" spans="2:12" ht="10.5" customHeight="1" x14ac:dyDescent="0.2">
      <c r="D19" s="120"/>
      <c r="E19" s="136"/>
      <c r="F19" s="136"/>
      <c r="G19" s="136"/>
      <c r="H19" s="136"/>
      <c r="I19" s="136"/>
      <c r="J19" s="121"/>
    </row>
    <row r="20" spans="2:12" ht="9" customHeight="1" thickBot="1" x14ac:dyDescent="0.25">
      <c r="D20" s="122"/>
      <c r="E20" s="123"/>
      <c r="F20" s="123"/>
      <c r="G20" s="123"/>
      <c r="H20" s="123"/>
      <c r="I20" s="123"/>
      <c r="J20" s="124"/>
    </row>
    <row r="22" spans="2:12" ht="17.25" customHeight="1" x14ac:dyDescent="0.2">
      <c r="C22" s="20" t="s">
        <v>302</v>
      </c>
      <c r="D22" s="116">
        <v>4.9227800000000004</v>
      </c>
      <c r="F22" s="153" t="s">
        <v>47</v>
      </c>
      <c r="G22" s="154"/>
      <c r="H22" s="155"/>
    </row>
    <row r="23" spans="2:12" ht="17.25" customHeight="1" x14ac:dyDescent="0.2">
      <c r="B23" s="156" t="s">
        <v>48</v>
      </c>
      <c r="C23" s="157"/>
      <c r="D23" s="158"/>
      <c r="E23" s="8" t="s">
        <v>43</v>
      </c>
      <c r="F23" s="8" t="s">
        <v>44</v>
      </c>
      <c r="G23" s="7" t="s">
        <v>45</v>
      </c>
      <c r="H23" s="8" t="s">
        <v>46</v>
      </c>
    </row>
    <row r="24" spans="2:12" ht="17.25" customHeight="1" x14ac:dyDescent="0.2">
      <c r="B24" s="151" t="s">
        <v>37</v>
      </c>
      <c r="C24" s="152"/>
      <c r="D24" s="152"/>
      <c r="E24" s="32">
        <f>IF($H$5="",($E$5*52/12),($E$5*52/12)*VLOOKUP($H$5,Base_grades!P:R,2,FALSE))</f>
        <v>151.66666666666666</v>
      </c>
      <c r="F24" s="15"/>
      <c r="G24" s="59"/>
      <c r="H24" s="60">
        <f>G11*D22*E24/(35*52/12)</f>
        <v>1900.19308</v>
      </c>
    </row>
    <row r="25" spans="2:12" ht="17.25" customHeight="1" x14ac:dyDescent="0.2">
      <c r="B25" s="5" t="s">
        <v>49</v>
      </c>
      <c r="C25" s="6"/>
      <c r="D25" s="6"/>
      <c r="E25" s="33">
        <f>IF($H$5="",($E$5*52/12),($E$5*52/12)*VLOOKUP($H$5,Base_grades!P:R,2,FALSE))</f>
        <v>151.66666666666666</v>
      </c>
      <c r="F25" s="21"/>
      <c r="G25" s="61"/>
      <c r="H25" s="62">
        <f>I11*D22*E25/(35*52/12)</f>
        <v>123.06950000000001</v>
      </c>
    </row>
    <row r="26" spans="2:12" ht="17.25" customHeight="1" x14ac:dyDescent="0.2">
      <c r="B26" s="5" t="s">
        <v>50</v>
      </c>
      <c r="C26" s="6"/>
      <c r="D26" s="6"/>
      <c r="E26" s="33">
        <f>IF($H$5="",($E$5*52/12),($E$5*52/12)*VLOOKUP($H$5,Base_grades!P:R,2,FALSE))</f>
        <v>151.66666666666666</v>
      </c>
      <c r="F26" s="21"/>
      <c r="G26" s="61"/>
      <c r="H26" s="62">
        <f>(H24+H25)*3%</f>
        <v>60.697877400000003</v>
      </c>
      <c r="L26" s="91"/>
    </row>
    <row r="27" spans="2:12" ht="17.25" customHeight="1" x14ac:dyDescent="0.2">
      <c r="B27" s="5" t="s">
        <v>298</v>
      </c>
      <c r="C27" s="6"/>
      <c r="D27" s="6"/>
      <c r="E27" s="33">
        <f>IF($H$5="",($E$5*52/12),($E$5*52/12)*VLOOKUP($H$5,Base_grades!P:R,2,FALSE))</f>
        <v>151.66666666666666</v>
      </c>
      <c r="F27" s="21"/>
      <c r="G27" s="61"/>
      <c r="H27" s="62">
        <f>IF((G11*D22)&lt;Base_grades!T3,(Base_grades!T3-(G11*D22))*E27/(35*52/12),0)</f>
        <v>0</v>
      </c>
      <c r="L27" s="91"/>
    </row>
    <row r="28" spans="2:12" ht="17.25" customHeight="1" x14ac:dyDescent="0.2">
      <c r="B28" s="5" t="s">
        <v>38</v>
      </c>
      <c r="E28" s="33">
        <f>IF($H$5="",($E$5*52/12),($E$5*52/12)*VLOOKUP($H$5,Base_grades!P:R,2,FALSE))</f>
        <v>151.66666666666666</v>
      </c>
      <c r="F28" s="21"/>
      <c r="G28" s="61"/>
      <c r="H28" s="62">
        <f>IF(E13=0,0,VLOOKUP(E13,SFT!D:L,9,FALSE))</f>
        <v>0</v>
      </c>
    </row>
    <row r="29" spans="2:12" ht="17.25" customHeight="1" x14ac:dyDescent="0.2">
      <c r="B29" s="148" t="s">
        <v>51</v>
      </c>
      <c r="C29" s="149"/>
      <c r="D29" s="150"/>
      <c r="E29" s="33">
        <f>IF($H$5="",($E$5*52/12),($E$5*52/12)*VLOOKUP($H$5,Base_grades!P:R,2,FALSE))</f>
        <v>151.66666666666666</v>
      </c>
      <c r="F29" s="21"/>
      <c r="G29" s="61"/>
      <c r="H29" s="62">
        <f>IFERROR(IF(E16="",IF(E15="",0,VLOOKUP(E15&amp;E9,Base_IFSE!B:F,5,FALSE)*E29/(35*52/12)),E16*E29/(35*52/12)),"Erreur")</f>
        <v>0</v>
      </c>
      <c r="L29" s="91"/>
    </row>
    <row r="30" spans="2:12" ht="17.25" customHeight="1" x14ac:dyDescent="0.2">
      <c r="B30" s="5" t="s">
        <v>39</v>
      </c>
      <c r="E30" s="33">
        <f>IF($H$5="",($E$5*52/12),($E$5*52/12)*VLOOKUP($H$5,Base_grades!P:R,2,FALSE))</f>
        <v>151.66666666666666</v>
      </c>
      <c r="F30" s="21"/>
      <c r="G30" s="61"/>
      <c r="H30" s="62">
        <f>IF(E3="Titulaire",IF(I13="",(H24+H25+H26+H29+H27+H28+H31+H32-H33)*0.76%,I13),IF(AND(E3="Non titulaire",W2="VRAI"),I13,0))</f>
        <v>0</v>
      </c>
      <c r="L30" s="91"/>
    </row>
    <row r="31" spans="2:12" ht="17.25" customHeight="1" x14ac:dyDescent="0.2">
      <c r="B31" s="5" t="s">
        <v>60</v>
      </c>
      <c r="E31" s="33">
        <f>IF($H$5="",($E$5*52/12),($E$5*52/12)*VLOOKUP($H$5,Base_grades!P:R,2,FALSE))</f>
        <v>151.66666666666666</v>
      </c>
      <c r="F31" s="21"/>
      <c r="G31" s="61"/>
      <c r="H31" s="62">
        <f>IF(E18="OUI",VLOOKUP(E18,Base_grades!S14:T16,2,FALSE)*E31/(35*52/12),0)</f>
        <v>0</v>
      </c>
      <c r="L31" s="91"/>
    </row>
    <row r="32" spans="2:12" ht="17.25" customHeight="1" x14ac:dyDescent="0.2">
      <c r="B32" s="5" t="s">
        <v>61</v>
      </c>
      <c r="E32" s="33">
        <f>IF($H$5="",($E$5*52/12),($E$5*52/12)*VLOOKUP($H$5,Base_grades!P:R,2,FALSE))</f>
        <v>151.66666666666666</v>
      </c>
      <c r="F32" s="21"/>
      <c r="G32" s="61"/>
      <c r="H32" s="62">
        <f>IF(G18="OUI",VLOOKUP(G18,Base_grades!S10:T12,2,FALSE)*E32/(35*52/12),0)</f>
        <v>0</v>
      </c>
      <c r="K32" s="133" t="s">
        <v>412</v>
      </c>
      <c r="L32" s="134" t="s">
        <v>415</v>
      </c>
    </row>
    <row r="33" spans="2:23" ht="17.25" customHeight="1" x14ac:dyDescent="0.2">
      <c r="B33" s="5" t="s">
        <v>52</v>
      </c>
      <c r="E33" s="33">
        <f>IF($H$5="",($E$5*52/12),($E$5*52/12)*VLOOKUP($H$5,Base_grades!P:R,2,FALSE))</f>
        <v>151.66666666666666</v>
      </c>
      <c r="F33" s="21"/>
      <c r="G33" s="61"/>
      <c r="H33" s="62">
        <f>IF(E3="Titulaire",-(VLOOKUP(VLOOKUP(E9,Base_grades!D:H,5,FALSE),Base_grades!P:Q,2,FALSE)/12)*E33/(35*52/12),0)</f>
        <v>0</v>
      </c>
      <c r="I33" s="20" t="s">
        <v>413</v>
      </c>
      <c r="J33" s="20"/>
      <c r="K33" s="132">
        <f>H35</f>
        <v>2083.9604574</v>
      </c>
      <c r="L33" s="132">
        <f>PFA!H35*12</f>
        <v>26467.525488799998</v>
      </c>
    </row>
    <row r="34" spans="2:23" ht="17.25" customHeight="1" x14ac:dyDescent="0.2">
      <c r="B34" s="5" t="s">
        <v>64</v>
      </c>
      <c r="E34" s="33">
        <f>IF($H$5="",($E$5*52/12),($E$5*52/12)*VLOOKUP($H$5,Base_grades!P:R,2,FALSE))</f>
        <v>151.66666666666666</v>
      </c>
      <c r="F34" s="21"/>
      <c r="G34" s="61"/>
      <c r="H34" s="62">
        <f>IF(I18="OUI",VLOOKUP(I18,Base_grades!S6:T8,2,FALSE)*E34/(35*52/12),0)</f>
        <v>0</v>
      </c>
      <c r="I34" s="20" t="s">
        <v>414</v>
      </c>
      <c r="J34" s="20"/>
      <c r="K34" s="132">
        <f>H46</f>
        <v>1683.2096515408361</v>
      </c>
      <c r="L34" s="132">
        <f>PFA!H46*12</f>
        <v>21377.754168490035</v>
      </c>
    </row>
    <row r="35" spans="2:23" s="9" customFormat="1" ht="17.25" customHeight="1" x14ac:dyDescent="0.2">
      <c r="B35" s="10" t="s">
        <v>53</v>
      </c>
      <c r="C35" s="11"/>
      <c r="D35" s="11"/>
      <c r="E35" s="34"/>
      <c r="F35" s="22"/>
      <c r="G35" s="63"/>
      <c r="H35" s="64">
        <f>IFERROR(H24+H25+H26+H27+H28+H29+H30+H31+H32+H34+H33,0)</f>
        <v>2083.9604574</v>
      </c>
      <c r="K35" s="89"/>
      <c r="W35" s="3"/>
    </row>
    <row r="36" spans="2:23" ht="17.25" customHeight="1" x14ac:dyDescent="0.2">
      <c r="B36" s="5"/>
      <c r="E36" s="33"/>
      <c r="F36" s="21"/>
      <c r="G36" s="61"/>
      <c r="H36" s="62"/>
      <c r="L36" s="177" t="s">
        <v>416</v>
      </c>
    </row>
    <row r="37" spans="2:23" ht="17.25" customHeight="1" x14ac:dyDescent="0.2">
      <c r="B37" s="5" t="s">
        <v>54</v>
      </c>
      <c r="E37" s="33">
        <f>IF(E3="Titulaire",IF((H35-(H24+H25))&gt;20%*H24,20%*H24,H35-(H24+H25)),0)</f>
        <v>0</v>
      </c>
      <c r="F37" s="88">
        <f>IF(E3="Titulaire",5%,0)</f>
        <v>0</v>
      </c>
      <c r="G37" s="61"/>
      <c r="H37" s="62">
        <f>E37*F37</f>
        <v>0</v>
      </c>
      <c r="K37" s="175"/>
    </row>
    <row r="38" spans="2:23" ht="17.25" customHeight="1" x14ac:dyDescent="0.2">
      <c r="B38" s="5" t="s">
        <v>40</v>
      </c>
      <c r="E38" s="33">
        <f>IF(E3="Titulaire",H24+H25,0)</f>
        <v>0</v>
      </c>
      <c r="F38" s="88">
        <f>IF(E3="Titulaire",11.1%,0)</f>
        <v>0</v>
      </c>
      <c r="G38" s="61"/>
      <c r="H38" s="62">
        <f>E38*F38</f>
        <v>0</v>
      </c>
      <c r="K38" s="176"/>
    </row>
    <row r="39" spans="2:23" ht="17.25" customHeight="1" x14ac:dyDescent="0.2">
      <c r="B39" s="5" t="s">
        <v>56</v>
      </c>
      <c r="E39" s="33">
        <f>IF(E3="Non titulaire",$H$35,0)</f>
        <v>2083.9604574</v>
      </c>
      <c r="F39" s="88">
        <f>IF(E3="",0,IF($E$3="Titulaire",0,0.4%))</f>
        <v>4.0000000000000001E-3</v>
      </c>
      <c r="G39" s="61"/>
      <c r="H39" s="62">
        <f t="shared" ref="H39:H42" si="0">E39*F39</f>
        <v>8.3358418295999996</v>
      </c>
      <c r="K39" s="91"/>
    </row>
    <row r="40" spans="2:23" ht="17.25" customHeight="1" x14ac:dyDescent="0.2">
      <c r="B40" s="5" t="s">
        <v>57</v>
      </c>
      <c r="E40" s="33">
        <f>IF(E3="Non titulaire",IF($H$35&lt;Base_grades!$T$1,$H$35,Base_grades!$T$1),0)</f>
        <v>2083.9604574</v>
      </c>
      <c r="F40" s="88">
        <f>IF(E3="",0,IF($E$3="Titulaire",0,6.9%))</f>
        <v>6.9000000000000006E-2</v>
      </c>
      <c r="G40" s="61"/>
      <c r="H40" s="62">
        <f t="shared" si="0"/>
        <v>143.7932715606</v>
      </c>
      <c r="K40" s="91"/>
    </row>
    <row r="41" spans="2:23" ht="17.25" customHeight="1" x14ac:dyDescent="0.2">
      <c r="B41" s="5" t="s">
        <v>58</v>
      </c>
      <c r="E41" s="33">
        <f>IF(E3="Non titulaire",IF($H$35&lt;Base_grades!$T$1,$H$35,Base_grades!$T$1),0)</f>
        <v>2083.9604574</v>
      </c>
      <c r="F41" s="88">
        <f>IF(E3="",0,IF($E$3="Titulaire",0,2.4%))</f>
        <v>2.4E-2</v>
      </c>
      <c r="G41" s="61"/>
      <c r="H41" s="62">
        <f t="shared" si="0"/>
        <v>50.015050977599998</v>
      </c>
      <c r="K41" s="91"/>
    </row>
    <row r="42" spans="2:23" ht="17.25" customHeight="1" x14ac:dyDescent="0.2">
      <c r="B42" s="5" t="s">
        <v>59</v>
      </c>
      <c r="E42" s="33">
        <f>IF(E3="Non titulaire",IF($H$35&lt;Base_grades!$T$1,0,$H$35-Base_grades!$T$1),0)</f>
        <v>0</v>
      </c>
      <c r="F42" s="88">
        <f>IF(E42=0,0,IF($E$3="Titulaire",0,7.06%))</f>
        <v>0</v>
      </c>
      <c r="G42" s="61"/>
      <c r="H42" s="62">
        <f t="shared" si="0"/>
        <v>0</v>
      </c>
    </row>
    <row r="43" spans="2:23" ht="17.25" customHeight="1" x14ac:dyDescent="0.2">
      <c r="B43" s="5" t="s">
        <v>41</v>
      </c>
      <c r="E43" s="33">
        <f>$H$35*0.9825</f>
        <v>2047.4911493955001</v>
      </c>
      <c r="F43" s="88">
        <f>IF(E43=0,0,2.4%)</f>
        <v>2.4E-2</v>
      </c>
      <c r="G43" s="61"/>
      <c r="H43" s="62">
        <f>E43*F43</f>
        <v>49.139787585492002</v>
      </c>
    </row>
    <row r="44" spans="2:23" ht="17.25" customHeight="1" x14ac:dyDescent="0.2">
      <c r="B44" s="5" t="s">
        <v>55</v>
      </c>
      <c r="E44" s="33">
        <f t="shared" ref="E44:E45" si="1">$H$35*0.9825</f>
        <v>2047.4911493955001</v>
      </c>
      <c r="F44" s="88">
        <f>IF(E44=0,0,0.5%)</f>
        <v>5.0000000000000001E-3</v>
      </c>
      <c r="G44" s="61"/>
      <c r="H44" s="62">
        <f t="shared" ref="H44:H45" si="2">E44*F44</f>
        <v>10.237455746977501</v>
      </c>
    </row>
    <row r="45" spans="2:23" ht="17.25" customHeight="1" x14ac:dyDescent="0.2">
      <c r="B45" s="5" t="s">
        <v>42</v>
      </c>
      <c r="E45" s="33">
        <f t="shared" si="1"/>
        <v>2047.4911493955001</v>
      </c>
      <c r="F45" s="88">
        <f>IF(E45=0,0,6.8%)</f>
        <v>6.8000000000000005E-2</v>
      </c>
      <c r="G45" s="61"/>
      <c r="H45" s="62">
        <f t="shared" si="2"/>
        <v>139.22939815889401</v>
      </c>
    </row>
    <row r="46" spans="2:23" ht="17.25" customHeight="1" x14ac:dyDescent="0.2">
      <c r="B46" s="108" t="s">
        <v>63</v>
      </c>
      <c r="C46" s="109"/>
      <c r="D46" s="109"/>
      <c r="E46" s="110"/>
      <c r="F46" s="111"/>
      <c r="G46" s="112"/>
      <c r="H46" s="113">
        <f>H35-H37-H38-H39-H40-H41-H42-H43-H44-H45</f>
        <v>1683.2096515408361</v>
      </c>
    </row>
    <row r="47" spans="2:23" ht="17.25" customHeight="1" x14ac:dyDescent="0.2">
      <c r="B47" s="6"/>
    </row>
  </sheetData>
  <sheetProtection selectLockedCells="1"/>
  <mergeCells count="9">
    <mergeCell ref="B29:D29"/>
    <mergeCell ref="B24:D24"/>
    <mergeCell ref="F22:H22"/>
    <mergeCell ref="B23:D23"/>
    <mergeCell ref="E15:G15"/>
    <mergeCell ref="E3:F3"/>
    <mergeCell ref="E8:H8"/>
    <mergeCell ref="E9:I9"/>
    <mergeCell ref="E7:G7"/>
  </mergeCells>
  <dataValidations count="10">
    <dataValidation type="list" allowBlank="1" showInputMessage="1" showErrorMessage="1" sqref="E7" xr:uid="{75D7692A-BA83-4CA6-84D8-C42088B8551E}">
      <formula1>INDIRECT("Filière")</formula1>
    </dataValidation>
    <dataValidation type="list" allowBlank="1" showInputMessage="1" showErrorMessage="1" sqref="E8" xr:uid="{CC8EE34F-1B14-42B4-B094-2355F68E9B59}">
      <formula1>INDIRECT($E$7)</formula1>
    </dataValidation>
    <dataValidation type="list" allowBlank="1" showInputMessage="1" showErrorMessage="1" sqref="E9" xr:uid="{7BFA2050-502A-46BE-B3B2-4A963BBA2192}">
      <formula1>INDIRECT($E$8)</formula1>
    </dataValidation>
    <dataValidation type="list" allowBlank="1" showInputMessage="1" showErrorMessage="1" sqref="E3" xr:uid="{01BB0056-CE4B-43F0-9F3D-8A3A6AC214FF}">
      <formula1>INDIRECT("Statut")</formula1>
    </dataValidation>
    <dataValidation type="list" allowBlank="1" showInputMessage="1" showErrorMessage="1" sqref="E11" xr:uid="{CA2B0D41-8B50-4EEE-A10C-965FBC00F8EA}">
      <formula1>INDIRECT("Echelons")</formula1>
    </dataValidation>
    <dataValidation type="list" allowBlank="1" showInputMessage="1" showErrorMessage="1" sqref="H5" xr:uid="{323696F9-5E59-4F64-A3A9-99C03C79EADA}">
      <formula1>INDIRECT("Temps_partiel")</formula1>
    </dataValidation>
    <dataValidation type="list" allowBlank="1" showInputMessage="1" showErrorMessage="1" sqref="E15:G15" xr:uid="{A83BFD4D-DA00-4A2F-B333-4A1FC818CD0B}">
      <formula1>INDIRECT("IFSE")</formula1>
    </dataValidation>
    <dataValidation type="list" allowBlank="1" showInputMessage="1" showErrorMessage="1" sqref="G18" xr:uid="{F6D635EC-E588-4DBA-B455-FB8A40BDC185}">
      <formula1>INDIRECT("Segur")</formula1>
    </dataValidation>
    <dataValidation type="list" allowBlank="1" showInputMessage="1" showErrorMessage="1" sqref="I18" xr:uid="{27D79F2F-4AA9-46A6-ACEA-FBA57F6B3BE1}">
      <formula1>INDIRECT("PFA")</formula1>
    </dataValidation>
    <dataValidation type="list" allowBlank="1" showInputMessage="1" showErrorMessage="1" sqref="E18" xr:uid="{0CF50A01-685A-4134-8123-7537F04CADB5}">
      <formula1>INDIRECT("PGA")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36" r:id="rId3" name="RESET">
          <controlPr locked="0" defaultSize="0" autoLine="0" r:id="rId4">
            <anchor moveWithCells="1">
              <from>
                <xdr:col>10</xdr:col>
                <xdr:colOff>276225</xdr:colOff>
                <xdr:row>0</xdr:row>
                <xdr:rowOff>390525</xdr:rowOff>
              </from>
              <to>
                <xdr:col>11</xdr:col>
                <xdr:colOff>514350</xdr:colOff>
                <xdr:row>2</xdr:row>
                <xdr:rowOff>152400</xdr:rowOff>
              </to>
            </anchor>
          </controlPr>
        </control>
      </mc:Choice>
      <mc:Fallback>
        <control shapeId="1036" r:id="rId3" name="RESET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81E461-51E7-4954-9B7A-0AE4823EB31D}">
  <sheetPr codeName="Feuil5">
    <tabColor theme="9" tint="0.79998168889431442"/>
  </sheetPr>
  <dimension ref="B1:W47"/>
  <sheetViews>
    <sheetView showGridLines="0" topLeftCell="B6" workbookViewId="0">
      <selection activeCell="E16" sqref="E16"/>
    </sheetView>
  </sheetViews>
  <sheetFormatPr baseColWidth="10" defaultRowHeight="17.25" customHeight="1" x14ac:dyDescent="0.2"/>
  <cols>
    <col min="1" max="1" width="4.28515625" style="3" customWidth="1"/>
    <col min="2" max="2" width="11.42578125" style="3"/>
    <col min="3" max="3" width="10.85546875" style="3" customWidth="1"/>
    <col min="4" max="4" width="14.140625" style="3" bestFit="1" customWidth="1"/>
    <col min="5" max="5" width="11.85546875" style="3" customWidth="1"/>
    <col min="6" max="6" width="8.7109375" style="3" customWidth="1"/>
    <col min="7" max="9" width="11.85546875" style="3" customWidth="1"/>
    <col min="10" max="10" width="1" style="3" customWidth="1"/>
    <col min="11" max="11" width="11.85546875" style="3" customWidth="1"/>
    <col min="12" max="18" width="11.42578125" style="3" customWidth="1"/>
    <col min="19" max="22" width="11.42578125" style="3"/>
    <col min="23" max="23" width="11.42578125" style="3" customWidth="1"/>
    <col min="24" max="16384" width="11.42578125" style="3"/>
  </cols>
  <sheetData>
    <row r="1" spans="2:23" ht="31.5" customHeight="1" thickBot="1" x14ac:dyDescent="0.25">
      <c r="B1" s="118" t="s">
        <v>407</v>
      </c>
      <c r="C1" s="118"/>
      <c r="D1" s="118"/>
      <c r="E1" s="118"/>
      <c r="F1" s="118"/>
      <c r="G1" s="118"/>
      <c r="H1" s="118"/>
      <c r="I1" s="118"/>
      <c r="J1" s="118"/>
      <c r="K1" s="118"/>
      <c r="L1" s="119" t="s">
        <v>408</v>
      </c>
    </row>
    <row r="2" spans="2:23" ht="17.25" customHeight="1" x14ac:dyDescent="0.2">
      <c r="D2" s="125"/>
      <c r="E2" s="126"/>
      <c r="F2" s="126"/>
      <c r="G2" s="126"/>
      <c r="H2" s="126"/>
      <c r="I2" s="126"/>
      <c r="J2" s="127"/>
      <c r="W2" s="115">
        <f>IF(I3,"VRAI",0)</f>
        <v>0</v>
      </c>
    </row>
    <row r="3" spans="2:23" ht="17.25" customHeight="1" x14ac:dyDescent="0.2">
      <c r="D3" s="135" t="s">
        <v>30</v>
      </c>
      <c r="E3" s="143" t="str">
        <f>Simulation!$E$3</f>
        <v>Non titulaire</v>
      </c>
      <c r="F3" s="144"/>
      <c r="G3" s="136"/>
      <c r="H3" s="137" t="s">
        <v>300</v>
      </c>
      <c r="I3" s="138" t="b">
        <v>0</v>
      </c>
      <c r="J3" s="139"/>
    </row>
    <row r="4" spans="2:23" ht="12" customHeight="1" x14ac:dyDescent="0.2">
      <c r="D4" s="120"/>
      <c r="E4" s="136"/>
      <c r="F4" s="136"/>
      <c r="G4" s="136"/>
      <c r="H4" s="136"/>
      <c r="I4" s="136"/>
      <c r="J4" s="121"/>
    </row>
    <row r="5" spans="2:23" ht="17.25" customHeight="1" x14ac:dyDescent="0.2">
      <c r="D5" s="135" t="s">
        <v>34</v>
      </c>
      <c r="E5" s="129">
        <f>Simulation!$E$5</f>
        <v>35</v>
      </c>
      <c r="F5" s="136"/>
      <c r="G5" s="140" t="s">
        <v>62</v>
      </c>
      <c r="H5" s="130" t="str">
        <f>IF(Simulation!H5="","",Simulation!H5)</f>
        <v/>
      </c>
      <c r="I5" s="136"/>
      <c r="J5" s="121"/>
    </row>
    <row r="6" spans="2:23" ht="10.5" customHeight="1" x14ac:dyDescent="0.2">
      <c r="D6" s="120"/>
      <c r="E6" s="136"/>
      <c r="F6" s="136"/>
      <c r="G6" s="136"/>
      <c r="H6" s="136"/>
      <c r="I6" s="136"/>
      <c r="J6" s="121"/>
    </row>
    <row r="7" spans="2:23" ht="17.25" customHeight="1" x14ac:dyDescent="0.2">
      <c r="D7" s="135" t="s">
        <v>31</v>
      </c>
      <c r="E7" s="145" t="str">
        <f>Simulation!$E$7</f>
        <v>Administrative</v>
      </c>
      <c r="F7" s="146"/>
      <c r="G7" s="147"/>
      <c r="H7" s="136"/>
      <c r="I7" s="136"/>
      <c r="J7" s="121"/>
    </row>
    <row r="8" spans="2:23" ht="17.25" customHeight="1" x14ac:dyDescent="0.2">
      <c r="D8" s="135" t="s">
        <v>32</v>
      </c>
      <c r="E8" s="145" t="str">
        <f>Simulation!$E$8</f>
        <v>Attachés_territoriaux</v>
      </c>
      <c r="F8" s="146"/>
      <c r="G8" s="146"/>
      <c r="H8" s="147"/>
      <c r="I8" s="136"/>
      <c r="J8" s="121"/>
    </row>
    <row r="9" spans="2:23" ht="17.25" customHeight="1" x14ac:dyDescent="0.2">
      <c r="D9" s="135" t="s">
        <v>33</v>
      </c>
      <c r="E9" s="145" t="str">
        <f>Simulation!$E$9</f>
        <v>Rédacteur</v>
      </c>
      <c r="F9" s="146"/>
      <c r="G9" s="146"/>
      <c r="H9" s="146"/>
      <c r="I9" s="147"/>
      <c r="J9" s="121"/>
    </row>
    <row r="10" spans="2:23" ht="10.5" customHeight="1" x14ac:dyDescent="0.2">
      <c r="D10" s="120"/>
      <c r="E10" s="136"/>
      <c r="F10" s="136"/>
      <c r="G10" s="136"/>
      <c r="H10" s="136"/>
      <c r="I10" s="136"/>
      <c r="J10" s="121"/>
    </row>
    <row r="11" spans="2:23" ht="17.25" customHeight="1" x14ac:dyDescent="0.2">
      <c r="D11" s="135" t="s">
        <v>27</v>
      </c>
      <c r="E11" s="128">
        <f>Simulation!$E$11</f>
        <v>6</v>
      </c>
      <c r="F11" s="140" t="s">
        <v>28</v>
      </c>
      <c r="G11" s="4">
        <f>Simulation!$G$11</f>
        <v>386</v>
      </c>
      <c r="H11" s="140" t="s">
        <v>29</v>
      </c>
      <c r="I11" s="129">
        <f>Simulation!$I$11</f>
        <v>25</v>
      </c>
      <c r="J11" s="121"/>
    </row>
    <row r="12" spans="2:23" ht="10.5" customHeight="1" x14ac:dyDescent="0.2">
      <c r="D12" s="120"/>
      <c r="E12" s="136"/>
      <c r="F12" s="136"/>
      <c r="G12" s="136"/>
      <c r="H12" s="136"/>
      <c r="I12" s="136"/>
      <c r="J12" s="121"/>
    </row>
    <row r="13" spans="2:23" ht="17.25" customHeight="1" x14ac:dyDescent="0.2">
      <c r="D13" s="135" t="s">
        <v>36</v>
      </c>
      <c r="E13" s="129">
        <f>Simulation!$E$13</f>
        <v>0</v>
      </c>
      <c r="F13" s="136"/>
      <c r="G13" s="136"/>
      <c r="H13" s="140" t="s">
        <v>265</v>
      </c>
      <c r="I13" s="131" t="str">
        <f>IF(Simulation!$I$13="","",Simulation!$I$13)</f>
        <v/>
      </c>
      <c r="J13" s="121"/>
    </row>
    <row r="14" spans="2:23" ht="10.5" customHeight="1" x14ac:dyDescent="0.2">
      <c r="D14" s="120"/>
      <c r="E14" s="136"/>
      <c r="F14" s="136"/>
      <c r="G14" s="136"/>
      <c r="H14" s="136"/>
      <c r="I14" s="136"/>
      <c r="J14" s="121"/>
    </row>
    <row r="15" spans="2:23" ht="17.25" customHeight="1" x14ac:dyDescent="0.2">
      <c r="D15" s="135" t="s">
        <v>35</v>
      </c>
      <c r="E15" s="141" t="str">
        <f>IF(Simulation!$E$15="","",Simulation!$E$15)</f>
        <v/>
      </c>
      <c r="F15" s="142"/>
      <c r="G15" s="142"/>
      <c r="H15" s="136"/>
      <c r="I15" s="136"/>
      <c r="J15" s="121"/>
    </row>
    <row r="16" spans="2:23" ht="17.25" customHeight="1" x14ac:dyDescent="0.2">
      <c r="D16" s="135" t="s">
        <v>264</v>
      </c>
      <c r="E16" s="131" t="str">
        <f>IF(Simulation!$E$16="","",Simulation!$E$16)</f>
        <v/>
      </c>
      <c r="F16" s="136"/>
      <c r="G16" s="136"/>
      <c r="H16" s="136"/>
      <c r="I16" s="136"/>
      <c r="J16" s="121"/>
    </row>
    <row r="17" spans="2:12" ht="10.5" customHeight="1" x14ac:dyDescent="0.2">
      <c r="D17" s="120"/>
      <c r="E17" s="136"/>
      <c r="F17" s="136"/>
      <c r="G17" s="136"/>
      <c r="H17" s="136"/>
      <c r="I17" s="136"/>
      <c r="J17" s="121"/>
    </row>
    <row r="18" spans="2:12" ht="17.25" customHeight="1" x14ac:dyDescent="0.2">
      <c r="D18" s="135" t="s">
        <v>277</v>
      </c>
      <c r="E18" s="128">
        <f>Simulation!$E$18</f>
        <v>0</v>
      </c>
      <c r="F18" s="140" t="s">
        <v>278</v>
      </c>
      <c r="G18" s="128">
        <f>Simulation!$G$18</f>
        <v>0</v>
      </c>
      <c r="H18" s="140" t="s">
        <v>279</v>
      </c>
      <c r="I18" s="128" t="s">
        <v>296</v>
      </c>
      <c r="J18" s="121"/>
    </row>
    <row r="19" spans="2:12" ht="10.5" customHeight="1" x14ac:dyDescent="0.2">
      <c r="D19" s="120"/>
      <c r="E19" s="136"/>
      <c r="F19" s="136"/>
      <c r="G19" s="136"/>
      <c r="H19" s="136"/>
      <c r="I19" s="136"/>
      <c r="J19" s="121"/>
    </row>
    <row r="20" spans="2:12" ht="9" customHeight="1" thickBot="1" x14ac:dyDescent="0.25">
      <c r="D20" s="122"/>
      <c r="E20" s="123"/>
      <c r="F20" s="123"/>
      <c r="G20" s="123"/>
      <c r="H20" s="123"/>
      <c r="I20" s="123"/>
      <c r="J20" s="124"/>
    </row>
    <row r="22" spans="2:12" ht="17.25" customHeight="1" x14ac:dyDescent="0.2">
      <c r="C22" s="20" t="s">
        <v>302</v>
      </c>
      <c r="D22" s="116">
        <v>4.9227800000000004</v>
      </c>
      <c r="F22" s="153" t="s">
        <v>47</v>
      </c>
      <c r="G22" s="154"/>
      <c r="H22" s="155"/>
    </row>
    <row r="23" spans="2:12" ht="17.25" customHeight="1" x14ac:dyDescent="0.2">
      <c r="B23" s="156" t="s">
        <v>48</v>
      </c>
      <c r="C23" s="157"/>
      <c r="D23" s="158"/>
      <c r="E23" s="8" t="s">
        <v>43</v>
      </c>
      <c r="F23" s="8" t="s">
        <v>44</v>
      </c>
      <c r="G23" s="7" t="s">
        <v>45</v>
      </c>
      <c r="H23" s="8" t="s">
        <v>46</v>
      </c>
    </row>
    <row r="24" spans="2:12" ht="17.25" customHeight="1" x14ac:dyDescent="0.2">
      <c r="B24" s="151" t="s">
        <v>37</v>
      </c>
      <c r="C24" s="152"/>
      <c r="D24" s="152"/>
      <c r="E24" s="32">
        <f>IF($H$5="",($E$5*52/12),($E$5*52/12)*VLOOKUP($H$5,Base_grades!P:R,2,FALSE))</f>
        <v>151.66666666666666</v>
      </c>
      <c r="F24" s="15"/>
      <c r="G24" s="59"/>
      <c r="H24" s="60">
        <f>G11*D22*E24/(35*52/12)</f>
        <v>1900.19308</v>
      </c>
    </row>
    <row r="25" spans="2:12" ht="17.25" customHeight="1" x14ac:dyDescent="0.2">
      <c r="B25" s="5" t="s">
        <v>49</v>
      </c>
      <c r="C25" s="6"/>
      <c r="D25" s="6"/>
      <c r="E25" s="33">
        <f>IF($H$5="",($E$5*52/12),($E$5*52/12)*VLOOKUP($H$5,Base_grades!P:R,2,FALSE))</f>
        <v>151.66666666666666</v>
      </c>
      <c r="F25" s="21"/>
      <c r="G25" s="61"/>
      <c r="H25" s="62">
        <f>I11*D22*E25/(35*52/12)</f>
        <v>123.06950000000001</v>
      </c>
    </row>
    <row r="26" spans="2:12" ht="17.25" customHeight="1" x14ac:dyDescent="0.2">
      <c r="B26" s="5" t="s">
        <v>50</v>
      </c>
      <c r="C26" s="6"/>
      <c r="D26" s="6"/>
      <c r="E26" s="33">
        <f>IF($H$5="",($E$5*52/12),($E$5*52/12)*VLOOKUP($H$5,Base_grades!P:R,2,FALSE))</f>
        <v>151.66666666666666</v>
      </c>
      <c r="F26" s="21"/>
      <c r="G26" s="61"/>
      <c r="H26" s="62">
        <f>(H24+H25)*3%</f>
        <v>60.697877400000003</v>
      </c>
      <c r="L26" s="91"/>
    </row>
    <row r="27" spans="2:12" ht="17.25" customHeight="1" x14ac:dyDescent="0.2">
      <c r="B27" s="5" t="s">
        <v>298</v>
      </c>
      <c r="C27" s="6"/>
      <c r="D27" s="6"/>
      <c r="E27" s="33">
        <f>IF($H$5="",($E$5*52/12),($E$5*52/12)*VLOOKUP($H$5,Base_grades!P:R,2,FALSE))</f>
        <v>151.66666666666666</v>
      </c>
      <c r="F27" s="21"/>
      <c r="G27" s="61"/>
      <c r="H27" s="62">
        <f>IF((G11*D22)&lt;Base_grades!T3,(Base_grades!T3-(G11*D22))*E27/(35*52/12),0)</f>
        <v>0</v>
      </c>
      <c r="L27" s="91"/>
    </row>
    <row r="28" spans="2:12" ht="17.25" customHeight="1" x14ac:dyDescent="0.2">
      <c r="B28" s="5" t="s">
        <v>38</v>
      </c>
      <c r="E28" s="33">
        <f>IF($H$5="",($E$5*52/12),($E$5*52/12)*VLOOKUP($H$5,Base_grades!P:R,2,FALSE))</f>
        <v>151.66666666666666</v>
      </c>
      <c r="F28" s="21"/>
      <c r="G28" s="61"/>
      <c r="H28" s="62">
        <f>IF(E13=0,0,VLOOKUP(E13,SFT!D:L,9,FALSE))</f>
        <v>0</v>
      </c>
    </row>
    <row r="29" spans="2:12" ht="17.25" customHeight="1" x14ac:dyDescent="0.2">
      <c r="B29" s="148" t="s">
        <v>51</v>
      </c>
      <c r="C29" s="149"/>
      <c r="D29" s="150"/>
      <c r="E29" s="33">
        <f>IF($H$5="",($E$5*52/12),($E$5*52/12)*VLOOKUP($H$5,Base_grades!P:R,2,FALSE))</f>
        <v>151.66666666666666</v>
      </c>
      <c r="F29" s="21"/>
      <c r="G29" s="61"/>
      <c r="H29" s="62">
        <f>IFERROR(IF(E16="",IF(E15="",0,VLOOKUP(E15&amp;E9,Base_IFSE!B:F,5,FALSE)*E29/(35*52/12)),E16*E29/(35*52/12)),"Erreur")</f>
        <v>0</v>
      </c>
      <c r="L29" s="91"/>
    </row>
    <row r="30" spans="2:12" ht="17.25" customHeight="1" x14ac:dyDescent="0.2">
      <c r="B30" s="5" t="s">
        <v>39</v>
      </c>
      <c r="E30" s="33">
        <f>IF($H$5="",($E$5*52/12),($E$5*52/12)*VLOOKUP($H$5,Base_grades!P:R,2,FALSE))</f>
        <v>151.66666666666666</v>
      </c>
      <c r="F30" s="21"/>
      <c r="G30" s="61"/>
      <c r="H30" s="62">
        <f>IF(E3="Titulaire",IF(I13="",(H24+H25+H26+H29+H27+H28+H31+H32-H33)*0.76%,I13),IF(AND(E3="Non titulaire",W2="VRAI"),I13,0))</f>
        <v>0</v>
      </c>
      <c r="L30" s="91"/>
    </row>
    <row r="31" spans="2:12" ht="17.25" customHeight="1" x14ac:dyDescent="0.2">
      <c r="B31" s="5" t="s">
        <v>60</v>
      </c>
      <c r="E31" s="33">
        <f>IF($H$5="",($E$5*52/12),($E$5*52/12)*VLOOKUP($H$5,Base_grades!P:R,2,FALSE))</f>
        <v>151.66666666666666</v>
      </c>
      <c r="F31" s="21"/>
      <c r="G31" s="61"/>
      <c r="H31" s="62">
        <f>IF(E18="OUI",VLOOKUP(E18,Base_grades!S14:T16,2,FALSE)*E31/(35*52/12),0)</f>
        <v>0</v>
      </c>
      <c r="L31" s="91"/>
    </row>
    <row r="32" spans="2:12" ht="17.25" customHeight="1" x14ac:dyDescent="0.2">
      <c r="B32" s="5" t="s">
        <v>61</v>
      </c>
      <c r="E32" s="33">
        <f>IF($H$5="",($E$5*52/12),($E$5*52/12)*VLOOKUP($H$5,Base_grades!P:R,2,FALSE))</f>
        <v>151.66666666666666</v>
      </c>
      <c r="F32" s="21"/>
      <c r="G32" s="61"/>
      <c r="H32" s="62">
        <f>IF(G18="OUI",VLOOKUP(G18,Base_grades!S10:T12,2,FALSE)*E32/(35*52/12),0)</f>
        <v>0</v>
      </c>
    </row>
    <row r="33" spans="2:23" ht="17.25" customHeight="1" x14ac:dyDescent="0.2">
      <c r="B33" s="5" t="s">
        <v>52</v>
      </c>
      <c r="E33" s="33">
        <f>IF($H$5="",($E$5*52/12),($E$5*52/12)*VLOOKUP($H$5,Base_grades!P:R,2,FALSE))</f>
        <v>151.66666666666666</v>
      </c>
      <c r="F33" s="21"/>
      <c r="G33" s="61"/>
      <c r="H33" s="62">
        <f>IF(E3="Titulaire",-(VLOOKUP(VLOOKUP(E9,Base_grades!D:H,5,FALSE),Base_grades!P:Q,2,FALSE)/12)*E33/(35*52/12),0)</f>
        <v>0</v>
      </c>
    </row>
    <row r="34" spans="2:23" ht="17.25" customHeight="1" x14ac:dyDescent="0.2">
      <c r="B34" s="5" t="s">
        <v>64</v>
      </c>
      <c r="E34" s="33">
        <f>IF($H$5="",($E$5*52/12),($E$5*52/12)*VLOOKUP($H$5,Base_grades!P:R,2,FALSE))</f>
        <v>151.66666666666666</v>
      </c>
      <c r="F34" s="21"/>
      <c r="G34" s="61"/>
      <c r="H34" s="62">
        <f>IF(I18="OUI",VLOOKUP(I18,Base_grades!S6:T8,2,FALSE)*E34/(35*52/12),0)</f>
        <v>121.66666666666667</v>
      </c>
    </row>
    <row r="35" spans="2:23" s="9" customFormat="1" ht="17.25" customHeight="1" x14ac:dyDescent="0.2">
      <c r="B35" s="10" t="s">
        <v>53</v>
      </c>
      <c r="C35" s="11"/>
      <c r="D35" s="11"/>
      <c r="E35" s="34"/>
      <c r="F35" s="22"/>
      <c r="G35" s="63"/>
      <c r="H35" s="64">
        <f>IFERROR(H24+H25+H26+H27+H28+H29+H30+H31+H32+H34+H33,0)</f>
        <v>2205.6271240666665</v>
      </c>
      <c r="K35" s="89"/>
      <c r="W35" s="3"/>
    </row>
    <row r="36" spans="2:23" ht="17.25" customHeight="1" x14ac:dyDescent="0.2">
      <c r="B36" s="5"/>
      <c r="E36" s="33"/>
      <c r="F36" s="21"/>
      <c r="G36" s="61"/>
      <c r="H36" s="62"/>
    </row>
    <row r="37" spans="2:23" ht="17.25" customHeight="1" x14ac:dyDescent="0.2">
      <c r="B37" s="5" t="s">
        <v>54</v>
      </c>
      <c r="E37" s="33">
        <f>IF(E3="Titulaire",IF((H35-(H24+H25))&gt;20%*H24,20%*H24,H35-(H24+H25)),0)</f>
        <v>0</v>
      </c>
      <c r="F37" s="88">
        <f>IF(E3="Titulaire",5%,0)</f>
        <v>0</v>
      </c>
      <c r="G37" s="61"/>
      <c r="H37" s="62">
        <f>E37*F37</f>
        <v>0</v>
      </c>
      <c r="K37" s="90"/>
    </row>
    <row r="38" spans="2:23" ht="17.25" customHeight="1" x14ac:dyDescent="0.2">
      <c r="B38" s="5" t="s">
        <v>40</v>
      </c>
      <c r="E38" s="33">
        <f>IF(E3="Titulaire",H24+H25,0)</f>
        <v>0</v>
      </c>
      <c r="F38" s="88">
        <f>IF(E3="Titulaire",11.1%,0)</f>
        <v>0</v>
      </c>
      <c r="G38" s="61"/>
      <c r="H38" s="62">
        <f>E38*F38</f>
        <v>0</v>
      </c>
    </row>
    <row r="39" spans="2:23" ht="17.25" customHeight="1" x14ac:dyDescent="0.2">
      <c r="B39" s="5" t="s">
        <v>56</v>
      </c>
      <c r="E39" s="33">
        <f>IF(E3="Non titulaire",$H$35,0)</f>
        <v>2205.6271240666665</v>
      </c>
      <c r="F39" s="88">
        <f>IF(E3="",0,IF($E$3="Titulaire",0,0.4%))</f>
        <v>4.0000000000000001E-3</v>
      </c>
      <c r="G39" s="61"/>
      <c r="H39" s="62">
        <f t="shared" ref="H39:H42" si="0">E39*F39</f>
        <v>8.822508496266666</v>
      </c>
      <c r="K39" s="91"/>
    </row>
    <row r="40" spans="2:23" ht="17.25" customHeight="1" x14ac:dyDescent="0.2">
      <c r="B40" s="5" t="s">
        <v>57</v>
      </c>
      <c r="E40" s="33">
        <f>IF(E3="Non titulaire",IF($H$35&lt;Base_grades!$T$1,$H$35,Base_grades!$T$1),0)</f>
        <v>2205.6271240666665</v>
      </c>
      <c r="F40" s="88">
        <f>IF(E3="",0,IF($E$3="Titulaire",0,6.9%))</f>
        <v>6.9000000000000006E-2</v>
      </c>
      <c r="G40" s="61"/>
      <c r="H40" s="62">
        <f t="shared" si="0"/>
        <v>152.18827156060001</v>
      </c>
    </row>
    <row r="41" spans="2:23" ht="17.25" customHeight="1" x14ac:dyDescent="0.2">
      <c r="B41" s="5" t="s">
        <v>58</v>
      </c>
      <c r="E41" s="33">
        <f>IF(E3="Non titulaire",IF($H$35&lt;Base_grades!$T$1,$H$35,Base_grades!$T$1),0)</f>
        <v>2205.6271240666665</v>
      </c>
      <c r="F41" s="88">
        <f>IF(E3="",0,IF($E$3="Titulaire",0,2.4%))</f>
        <v>2.4E-2</v>
      </c>
      <c r="G41" s="61"/>
      <c r="H41" s="62">
        <f t="shared" si="0"/>
        <v>52.9350509776</v>
      </c>
    </row>
    <row r="42" spans="2:23" ht="17.25" customHeight="1" x14ac:dyDescent="0.2">
      <c r="B42" s="5" t="s">
        <v>59</v>
      </c>
      <c r="E42" s="33">
        <f>IF(E3="Non titulaire",IF($H$35&lt;Base_grades!$T$1,0,$H$35-Base_grades!$T$1),0)</f>
        <v>0</v>
      </c>
      <c r="F42" s="88">
        <f>IF(E42=0,0,IF($E$3="Titulaire",0,7.06%))</f>
        <v>0</v>
      </c>
      <c r="G42" s="61"/>
      <c r="H42" s="62">
        <f t="shared" si="0"/>
        <v>0</v>
      </c>
    </row>
    <row r="43" spans="2:23" ht="17.25" customHeight="1" x14ac:dyDescent="0.2">
      <c r="B43" s="5" t="s">
        <v>41</v>
      </c>
      <c r="E43" s="33">
        <f>$H$35*0.9825</f>
        <v>2167.0286493955</v>
      </c>
      <c r="F43" s="88">
        <f>IF(E43=0,0,2.4%)</f>
        <v>2.4E-2</v>
      </c>
      <c r="G43" s="61"/>
      <c r="H43" s="62">
        <f>E43*F43</f>
        <v>52.008687585491998</v>
      </c>
    </row>
    <row r="44" spans="2:23" ht="17.25" customHeight="1" x14ac:dyDescent="0.2">
      <c r="B44" s="5" t="s">
        <v>55</v>
      </c>
      <c r="E44" s="33">
        <f t="shared" ref="E44:E45" si="1">$H$35*0.9825</f>
        <v>2167.0286493955</v>
      </c>
      <c r="F44" s="88">
        <f>IF(E44=0,0,0.5%)</f>
        <v>5.0000000000000001E-3</v>
      </c>
      <c r="G44" s="61"/>
      <c r="H44" s="62">
        <f t="shared" ref="H44:H45" si="2">E44*F44</f>
        <v>10.8351432469775</v>
      </c>
    </row>
    <row r="45" spans="2:23" ht="17.25" customHeight="1" x14ac:dyDescent="0.2">
      <c r="B45" s="5" t="s">
        <v>42</v>
      </c>
      <c r="E45" s="33">
        <f t="shared" si="1"/>
        <v>2167.0286493955</v>
      </c>
      <c r="F45" s="88">
        <f>IF(E45=0,0,6.8%)</f>
        <v>6.8000000000000005E-2</v>
      </c>
      <c r="G45" s="61"/>
      <c r="H45" s="62">
        <f t="shared" si="2"/>
        <v>147.357948158894</v>
      </c>
    </row>
    <row r="46" spans="2:23" ht="17.25" customHeight="1" x14ac:dyDescent="0.2">
      <c r="B46" s="108" t="s">
        <v>63</v>
      </c>
      <c r="C46" s="109"/>
      <c r="D46" s="109"/>
      <c r="E46" s="110"/>
      <c r="F46" s="111"/>
      <c r="G46" s="112"/>
      <c r="H46" s="113">
        <f>H35-H37-H38-H39-H40-H41-H42-H43-H44-H45</f>
        <v>1781.4795140408362</v>
      </c>
    </row>
    <row r="47" spans="2:23" ht="17.25" customHeight="1" x14ac:dyDescent="0.2">
      <c r="B47" s="6"/>
    </row>
  </sheetData>
  <sheetProtection selectLockedCells="1"/>
  <mergeCells count="9">
    <mergeCell ref="B23:D23"/>
    <mergeCell ref="B24:D24"/>
    <mergeCell ref="B29:D29"/>
    <mergeCell ref="E3:F3"/>
    <mergeCell ref="E7:G7"/>
    <mergeCell ref="E8:H8"/>
    <mergeCell ref="E9:I9"/>
    <mergeCell ref="E15:G15"/>
    <mergeCell ref="F22:H22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421CD4-6200-4703-B18C-C094476B7376}">
  <sheetPr codeName="Feuil4"/>
  <dimension ref="B2:U22"/>
  <sheetViews>
    <sheetView workbookViewId="0">
      <selection activeCell="J35" sqref="J35"/>
    </sheetView>
  </sheetViews>
  <sheetFormatPr baseColWidth="10" defaultRowHeight="12.75" x14ac:dyDescent="0.2"/>
  <sheetData>
    <row r="2" spans="2:21" ht="13.5" thickBot="1" x14ac:dyDescent="0.25"/>
    <row r="3" spans="2:21" ht="39" thickBot="1" x14ac:dyDescent="0.25">
      <c r="B3" s="160" t="s">
        <v>267</v>
      </c>
      <c r="C3" s="163"/>
      <c r="D3" s="65"/>
      <c r="E3" s="66" t="s">
        <v>77</v>
      </c>
      <c r="F3" s="67" t="s">
        <v>78</v>
      </c>
      <c r="G3" s="68" t="s">
        <v>79</v>
      </c>
      <c r="H3" s="69" t="s">
        <v>80</v>
      </c>
      <c r="I3" s="77" t="s">
        <v>274</v>
      </c>
      <c r="J3" s="78" t="s">
        <v>276</v>
      </c>
      <c r="K3" s="79" t="s">
        <v>275</v>
      </c>
      <c r="L3" s="80" t="s">
        <v>81</v>
      </c>
    </row>
    <row r="4" spans="2:21" ht="15.75" x14ac:dyDescent="0.2">
      <c r="B4" s="161"/>
      <c r="C4" s="164"/>
      <c r="D4" s="23">
        <v>1</v>
      </c>
      <c r="E4" s="166">
        <f>454*Simulation!D22</f>
        <v>2234.9421200000002</v>
      </c>
      <c r="F4" s="169">
        <f>722*Simulation!D22</f>
        <v>3554.2471600000003</v>
      </c>
      <c r="G4" s="24">
        <v>2.29</v>
      </c>
      <c r="H4" s="73" t="s">
        <v>82</v>
      </c>
      <c r="I4" s="172">
        <f>G4</f>
        <v>2.29</v>
      </c>
      <c r="J4" s="173"/>
      <c r="K4" s="173"/>
      <c r="L4" s="85">
        <f>I4</f>
        <v>2.29</v>
      </c>
    </row>
    <row r="5" spans="2:21" ht="15.75" x14ac:dyDescent="0.2">
      <c r="B5" s="161"/>
      <c r="C5" s="164"/>
      <c r="D5" s="23">
        <v>2</v>
      </c>
      <c r="E5" s="167"/>
      <c r="F5" s="170"/>
      <c r="G5" s="25">
        <v>10.67</v>
      </c>
      <c r="H5" s="74">
        <v>0.03</v>
      </c>
      <c r="I5" s="82">
        <f>IF((Simulation!$G$11+Simulation!$I$11)&lt;=454,(E$4*H5)+G5,0)</f>
        <v>77.7182636</v>
      </c>
      <c r="J5" s="81">
        <f>IF((Simulation!$G$11+Simulation!$I$11)&gt;722,0,IF((Simulation!$G$11+Simulation!$I$11)&gt;454,(Simulation!$H$24+Simulation!$H$25)*H5+G5,0))</f>
        <v>0</v>
      </c>
      <c r="K5" s="81">
        <f>IF(Simulation!$G$11+Simulation!$I$11&gt;722,(F$4*H5)+G5,0)</f>
        <v>0</v>
      </c>
      <c r="L5" s="86">
        <f>IF(I5&lt;&gt;0,I5,IF(K5&lt;&gt;0,K5,IF(J5&lt;N5,N5,J5)))</f>
        <v>77.7182636</v>
      </c>
      <c r="N5" s="26">
        <f>454*Simulation!$D$22*H5+G5</f>
        <v>77.7182636</v>
      </c>
      <c r="R5" s="1"/>
      <c r="S5" s="16"/>
      <c r="U5" s="1"/>
    </row>
    <row r="6" spans="2:21" ht="15.75" x14ac:dyDescent="0.2">
      <c r="B6" s="161"/>
      <c r="C6" s="165"/>
      <c r="D6" s="28">
        <v>3</v>
      </c>
      <c r="E6" s="167"/>
      <c r="F6" s="170"/>
      <c r="G6" s="25">
        <v>15.24</v>
      </c>
      <c r="H6" s="74">
        <v>0.08</v>
      </c>
      <c r="I6" s="82">
        <f>IF((Simulation!$G$11+Simulation!$I$11)&lt;=454,(E$4*H6)+G6,0)</f>
        <v>194.03536960000002</v>
      </c>
      <c r="J6" s="81">
        <f>IF((Simulation!$G$11+Simulation!$I$11)&gt;722,0,IF((Simulation!$G$11+Simulation!$I$11)&gt;454,(Simulation!$H$24+Simulation!$H$25)*H6+G6,0))</f>
        <v>0</v>
      </c>
      <c r="K6" s="81">
        <f>IF(Simulation!$G$11+Simulation!$I$11&gt;722,(F$4*H6)+G6,0)</f>
        <v>0</v>
      </c>
      <c r="L6" s="86">
        <f t="shared" ref="L6:L13" si="0">IF(I6&lt;&gt;0,I6,IF(K6&lt;&gt;0,K6,IF(J6&lt;N6,N6,J6)))</f>
        <v>194.03536960000002</v>
      </c>
      <c r="N6" s="26">
        <f>454*Simulation!$D$22*H6+G6</f>
        <v>194.03536960000002</v>
      </c>
      <c r="R6" s="1"/>
      <c r="U6" s="1"/>
    </row>
    <row r="7" spans="2:21" ht="15.75" x14ac:dyDescent="0.2">
      <c r="B7" s="161"/>
      <c r="C7" s="29">
        <v>4.57</v>
      </c>
      <c r="D7" s="30">
        <v>4</v>
      </c>
      <c r="E7" s="167"/>
      <c r="F7" s="170"/>
      <c r="G7" s="31">
        <f>G6+C7</f>
        <v>19.810000000000002</v>
      </c>
      <c r="H7" s="74">
        <v>0.14000000000000001</v>
      </c>
      <c r="I7" s="82">
        <f>IF((Simulation!$G$11+Simulation!$I$11)&lt;=454,(E$4*H7)+G7,0)</f>
        <v>332.70189680000004</v>
      </c>
      <c r="J7" s="81">
        <f>IF((Simulation!$G$11+Simulation!$I$11)&gt;722,0,IF((Simulation!$G$11+Simulation!$I$11)&gt;454,(Simulation!$H$24+Simulation!$H$25)*H7+G7,0))</f>
        <v>0</v>
      </c>
      <c r="K7" s="81">
        <f>IF(Simulation!$G$11+Simulation!$I$11&gt;722,(F$4*H7)+G7,0)</f>
        <v>0</v>
      </c>
      <c r="L7" s="86">
        <f t="shared" si="0"/>
        <v>332.70189680000004</v>
      </c>
      <c r="N7" s="26">
        <f>454*Simulation!$D$22*H7+G7</f>
        <v>332.70189680000004</v>
      </c>
      <c r="U7" s="1"/>
    </row>
    <row r="8" spans="2:21" ht="15.75" x14ac:dyDescent="0.2">
      <c r="B8" s="161"/>
      <c r="C8" s="27">
        <f>C7*2</f>
        <v>9.14</v>
      </c>
      <c r="D8" s="30">
        <v>5</v>
      </c>
      <c r="E8" s="167"/>
      <c r="F8" s="170"/>
      <c r="G8" s="31">
        <f>G6+C8</f>
        <v>24.380000000000003</v>
      </c>
      <c r="H8" s="75">
        <v>0.2</v>
      </c>
      <c r="I8" s="82">
        <f>IF((Simulation!$G$11+Simulation!$I$11)&lt;=454,(E$4*H8)+G8,0)</f>
        <v>471.36842400000006</v>
      </c>
      <c r="J8" s="81">
        <f>IF((Simulation!$G$11+Simulation!$I$11)&gt;722,0,IF((Simulation!$G$11+Simulation!$I$11)&gt;454,(Simulation!$H$24+Simulation!$H$25)*H8+G8,0))</f>
        <v>0</v>
      </c>
      <c r="K8" s="81">
        <f>IF(Simulation!$G$11+Simulation!$I$11&gt;722,(F$4*H8)+G8,0)</f>
        <v>0</v>
      </c>
      <c r="L8" s="86">
        <f t="shared" si="0"/>
        <v>471.36842400000006</v>
      </c>
      <c r="N8" s="26">
        <f>454*Simulation!$D$22*H8+G8</f>
        <v>471.36842400000006</v>
      </c>
      <c r="U8" s="1"/>
    </row>
    <row r="9" spans="2:21" ht="15.75" x14ac:dyDescent="0.2">
      <c r="B9" s="161"/>
      <c r="C9" s="27">
        <f>C7*3</f>
        <v>13.71</v>
      </c>
      <c r="D9" s="30">
        <v>6</v>
      </c>
      <c r="E9" s="167"/>
      <c r="F9" s="170"/>
      <c r="G9" s="31">
        <f>G6+C9</f>
        <v>28.950000000000003</v>
      </c>
      <c r="H9" s="75">
        <v>0.26</v>
      </c>
      <c r="I9" s="82">
        <f>IF((Simulation!$G$11+Simulation!$I$11)&lt;=454,(E$4*H9)+G9,0)</f>
        <v>610.03495120000014</v>
      </c>
      <c r="J9" s="81">
        <f>IF((Simulation!$G$11+Simulation!$I$11)&gt;722,0,IF((Simulation!$G$11+Simulation!$I$11)&gt;454,(Simulation!$H$24+Simulation!$H$25)*H9+G9,0))</f>
        <v>0</v>
      </c>
      <c r="K9" s="81">
        <f>IF(Simulation!$G$11+Simulation!$I$11&gt;722,(F$4*H9)+G9,0)</f>
        <v>0</v>
      </c>
      <c r="L9" s="86">
        <f t="shared" si="0"/>
        <v>610.03495120000014</v>
      </c>
      <c r="N9" s="26">
        <f>454*Simulation!$D$22*H9+G9</f>
        <v>610.03495120000014</v>
      </c>
    </row>
    <row r="10" spans="2:21" ht="15.75" x14ac:dyDescent="0.2">
      <c r="B10" s="161"/>
      <c r="C10" s="27">
        <f>C7*4</f>
        <v>18.28</v>
      </c>
      <c r="D10" s="30">
        <v>7</v>
      </c>
      <c r="E10" s="167"/>
      <c r="F10" s="170"/>
      <c r="G10" s="31">
        <f>G6+C10</f>
        <v>33.520000000000003</v>
      </c>
      <c r="H10" s="75">
        <v>0.32</v>
      </c>
      <c r="I10" s="82">
        <f>IF((Simulation!$G$11+Simulation!$I$11)&lt;=454,(E$4*H10)+G10,0)</f>
        <v>748.70147840000004</v>
      </c>
      <c r="J10" s="81">
        <f>IF((Simulation!$G$11+Simulation!$I$11)&gt;722,0,IF((Simulation!$G$11+Simulation!$I$11)&gt;454,(Simulation!$H$24+Simulation!$H$25)*H10+G10,0))</f>
        <v>0</v>
      </c>
      <c r="K10" s="81">
        <f>IF(Simulation!$G$11+Simulation!$I$11&gt;722,(F$4*H10)+G10,0)</f>
        <v>0</v>
      </c>
      <c r="L10" s="86">
        <f t="shared" si="0"/>
        <v>748.70147840000004</v>
      </c>
      <c r="N10" s="26">
        <f>454*Simulation!$D$22*H10+G10</f>
        <v>748.70147840000004</v>
      </c>
      <c r="U10" s="1"/>
    </row>
    <row r="11" spans="2:21" ht="15.75" x14ac:dyDescent="0.2">
      <c r="B11" s="161"/>
      <c r="C11" s="27">
        <f>C7*5</f>
        <v>22.85</v>
      </c>
      <c r="D11" s="30">
        <v>8</v>
      </c>
      <c r="E11" s="167"/>
      <c r="F11" s="170"/>
      <c r="G11" s="31">
        <f>G6+C11</f>
        <v>38.090000000000003</v>
      </c>
      <c r="H11" s="75">
        <v>0.38</v>
      </c>
      <c r="I11" s="82">
        <f>IF((Simulation!$G$11+Simulation!$I$11)&lt;=454,(E$4*H11)+G11,0)</f>
        <v>887.36800560000006</v>
      </c>
      <c r="J11" s="81">
        <f>IF((Simulation!$G$11+Simulation!$I$11)&gt;722,0,IF((Simulation!$G$11+Simulation!$I$11)&gt;454,(Simulation!$H$24+Simulation!$H$25)*H11+G11,0))</f>
        <v>0</v>
      </c>
      <c r="K11" s="81">
        <f>IF(Simulation!$G$11+Simulation!$I$11&gt;722,(F$4*H11)+G11,0)</f>
        <v>0</v>
      </c>
      <c r="L11" s="86">
        <f t="shared" si="0"/>
        <v>887.36800560000006</v>
      </c>
      <c r="N11" s="26">
        <f>454*Simulation!$D$22*H11+G11</f>
        <v>887.36800560000006</v>
      </c>
      <c r="U11" s="1"/>
    </row>
    <row r="12" spans="2:21" ht="15.75" x14ac:dyDescent="0.2">
      <c r="B12" s="161"/>
      <c r="C12" s="27">
        <f>C7*6</f>
        <v>27.42</v>
      </c>
      <c r="D12" s="30">
        <v>9</v>
      </c>
      <c r="E12" s="167"/>
      <c r="F12" s="170"/>
      <c r="G12" s="31">
        <f>G6+C12</f>
        <v>42.660000000000004</v>
      </c>
      <c r="H12" s="75">
        <v>0.44</v>
      </c>
      <c r="I12" s="82">
        <f>IF((Simulation!$G$11+Simulation!$I$11)&lt;=454,(E$4*H12)+G12,0)</f>
        <v>1026.0345328000001</v>
      </c>
      <c r="J12" s="81">
        <f>IF((Simulation!$G$11+Simulation!$I$11)&gt;722,0,IF((Simulation!$G$11+Simulation!$I$11)&gt;454,(Simulation!$H$24+Simulation!$H$25)*H12+G12,0))</f>
        <v>0</v>
      </c>
      <c r="K12" s="81">
        <f>IF(Simulation!$G$11+Simulation!$I$11&gt;722,(F$4*H12)+G12,0)</f>
        <v>0</v>
      </c>
      <c r="L12" s="86">
        <f t="shared" si="0"/>
        <v>1026.0345328000001</v>
      </c>
      <c r="N12" s="26">
        <f>454*Simulation!$D$22*H12+G12</f>
        <v>1026.0345328000001</v>
      </c>
      <c r="U12" s="1"/>
    </row>
    <row r="13" spans="2:21" ht="16.5" thickBot="1" x14ac:dyDescent="0.25">
      <c r="B13" s="162"/>
      <c r="C13" s="70">
        <f>C7*7</f>
        <v>31.990000000000002</v>
      </c>
      <c r="D13" s="71">
        <v>10</v>
      </c>
      <c r="E13" s="168"/>
      <c r="F13" s="171"/>
      <c r="G13" s="72">
        <f>G6+C13</f>
        <v>47.230000000000004</v>
      </c>
      <c r="H13" s="76">
        <v>0.5</v>
      </c>
      <c r="I13" s="83">
        <f>IF((Simulation!$G$11+Simulation!$I$11)&lt;=454,(E$4*H13)+G13,0)</f>
        <v>1164.7010600000001</v>
      </c>
      <c r="J13" s="84">
        <f>IF((Simulation!$G$11+Simulation!$I$11)&gt;722,0,IF((Simulation!$G$11+Simulation!$I$11)&gt;454,(Simulation!$H$24+Simulation!$H$25)*H13+G13,0))</f>
        <v>0</v>
      </c>
      <c r="K13" s="84">
        <f>IF(Simulation!$G$11+Simulation!$I$11&gt;722,(F$4*H13)+G13,0)</f>
        <v>0</v>
      </c>
      <c r="L13" s="87">
        <f t="shared" si="0"/>
        <v>1164.7010600000001</v>
      </c>
      <c r="N13" s="26">
        <f>454*Simulation!$D$22*H13+G13</f>
        <v>1164.7010600000001</v>
      </c>
    </row>
    <row r="22" spans="12:12" x14ac:dyDescent="0.2">
      <c r="L22" s="18"/>
    </row>
  </sheetData>
  <mergeCells count="5">
    <mergeCell ref="B3:B13"/>
    <mergeCell ref="C3:C6"/>
    <mergeCell ref="E4:E13"/>
    <mergeCell ref="F4:F13"/>
    <mergeCell ref="I4:K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Base_grades</vt:lpstr>
      <vt:lpstr>Base_IFSE</vt:lpstr>
      <vt:lpstr>Simulation</vt:lpstr>
      <vt:lpstr>PFA</vt:lpstr>
      <vt:lpstr>SFT</vt:lpstr>
    </vt:vector>
  </TitlesOfParts>
  <Company>Ivry-sur-Seine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IMBERN Fabien</dc:creator>
  <cp:lastModifiedBy>IMBERN Fabien</cp:lastModifiedBy>
  <dcterms:created xsi:type="dcterms:W3CDTF">2026-10-01T14:34:58Z</dcterms:created>
  <dcterms:modified xsi:type="dcterms:W3CDTF">2026-10-06T13:23:19Z</dcterms:modified>
</cp:coreProperties>
</file>